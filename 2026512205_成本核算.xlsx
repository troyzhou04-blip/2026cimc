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M:\project2026_4_7\26西门子\提交材料\"/>
    </mc:Choice>
  </mc:AlternateContent>
  <xr:revisionPtr revIDLastSave="0" documentId="13_ncr:1_{836DCC5E-16C1-44CC-AE2A-3CD88A7DD37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CB价格" sheetId="1" r:id="rId1"/>
    <sheet name="元器件BOM（立创商城）" sheetId="2" r:id="rId2"/>
    <sheet name="元器件BOM（非立创商城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1" l="1"/>
  <c r="R89" i="1"/>
  <c r="R88" i="1"/>
  <c r="R87" i="1"/>
  <c r="R86" i="1"/>
  <c r="R85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G15" i="1"/>
  <c r="B15" i="1"/>
  <c r="I14" i="1"/>
  <c r="G14" i="1"/>
  <c r="D14" i="1"/>
  <c r="B14" i="1"/>
  <c r="G10" i="1"/>
  <c r="B10" i="1"/>
  <c r="I9" i="1"/>
  <c r="G9" i="1"/>
  <c r="D9" i="1"/>
  <c r="B9" i="1"/>
</calcChain>
</file>

<file path=xl/sharedStrings.xml><?xml version="1.0" encoding="utf-8"?>
<sst xmlns="http://schemas.openxmlformats.org/spreadsheetml/2006/main" count="863" uniqueCount="442">
  <si>
    <t>工业硬件研发赛项成本核算</t>
  </si>
  <si>
    <t>队伍编号</t>
  </si>
  <si>
    <t>价格核算</t>
  </si>
  <si>
    <t>接口模块</t>
  </si>
  <si>
    <t>扩展模块：数字量输出</t>
  </si>
  <si>
    <t>说明：
1、 贴片点数、插件点数可在嘉立创EDA中统计得到
2、最终成本计算按 接口模块*1 + 扩展模块*4 计算</t>
  </si>
  <si>
    <t>板层数</t>
  </si>
  <si>
    <t>板面积（平方厘米）</t>
  </si>
  <si>
    <t>贴片点数</t>
  </si>
  <si>
    <t>插件点数</t>
  </si>
  <si>
    <t>PCB价格</t>
  </si>
  <si>
    <t>装配成本</t>
  </si>
  <si>
    <t>价格总计</t>
  </si>
  <si>
    <t>扩展模块：数字量输入</t>
  </si>
  <si>
    <t>拓展模块：模拟量</t>
  </si>
  <si>
    <t>立创商城BOM清单</t>
  </si>
  <si>
    <t>原型号</t>
  </si>
  <si>
    <t>原品牌</t>
  </si>
  <si>
    <t>原封装</t>
  </si>
  <si>
    <t>原参数</t>
  </si>
  <si>
    <t>原C编码</t>
  </si>
  <si>
    <t>ID</t>
  </si>
  <si>
    <t>Name</t>
  </si>
  <si>
    <t>Designator</t>
  </si>
  <si>
    <t>Quantity</t>
  </si>
  <si>
    <t>Supplier</t>
  </si>
  <si>
    <t>品牌</t>
  </si>
  <si>
    <t>类目</t>
  </si>
  <si>
    <t>封装</t>
  </si>
  <si>
    <t>参数</t>
  </si>
  <si>
    <t>单套用量</t>
  </si>
  <si>
    <t>单价</t>
  </si>
  <si>
    <t>关税税率</t>
  </si>
  <si>
    <t>小计</t>
  </si>
  <si>
    <t>GD32F527RMT7</t>
  </si>
  <si>
    <t>GigaDevice(兆易创新)</t>
  </si>
  <si>
    <t>LQFP-64_L10.0-W10.0-P0.50-LS12.0-BL</t>
  </si>
  <si>
    <t>C42370876</t>
  </si>
  <si>
    <t>U1,U23,U30,U40,U52</t>
  </si>
  <si>
    <t>LCSC</t>
  </si>
  <si>
    <t>单片机(MCU/MPU/SOC)</t>
  </si>
  <si>
    <t>LQFP-64(10x10)</t>
  </si>
  <si>
    <t>ARM Cortex-M33 32 Bit FLASH 12bit 12bit 内置+外置 -40℃~+105℃ 窗口看门狗(WWDG)；独立看门狗(IWDG)；日历功能；真随机数发生器(TRNG)；看门狗复位；内置通用定时器；硬件CRC</t>
  </si>
  <si>
    <t>X49SM8MSD2SC</t>
  </si>
  <si>
    <t>YXC(扬兴晶振)</t>
  </si>
  <si>
    <t>CRYSTAL-SMD_L11.5-W4.8-LS12.7</t>
  </si>
  <si>
    <t>C12674</t>
  </si>
  <si>
    <t>8MHz</t>
  </si>
  <si>
    <t>X1,X2,X3,X4,X5</t>
  </si>
  <si>
    <t>无源晶振</t>
  </si>
  <si>
    <t>HC-49S-SMD</t>
  </si>
  <si>
    <t>贴片晶振 8MHz ±20ppm 20pF ±30ppm -20℃~+70℃</t>
  </si>
  <si>
    <t>0603WAF1002T5E</t>
  </si>
  <si>
    <t>UNI-ROYAL(厚声)</t>
  </si>
  <si>
    <t>R0603</t>
  </si>
  <si>
    <t>C25804</t>
  </si>
  <si>
    <t>10kΩ</t>
  </si>
  <si>
    <t>R3,R4,R5,R6,R25,R26,R31,R46,R47,R48,R49,R67,R68,R69,R62,R63,R70,R73,R74,R75,R76,R98,R99,R100,R93,R94,R101,R113,R114,R120,R121,R122,R123,R124,R115,R116,R117,R118,R127,R139,R140,R141,R156,R153,R154,R155</t>
  </si>
  <si>
    <t>贴片电阻</t>
  </si>
  <si>
    <t>厚膜电阻 10kΩ ±1% 100mW 75V ±100ppm/℃ -55℃~+155℃</t>
  </si>
  <si>
    <t>CGA0603X7R104K500JT</t>
  </si>
  <si>
    <t>HRE(芯声)</t>
  </si>
  <si>
    <t>C0603</t>
  </si>
  <si>
    <t>C6119867</t>
  </si>
  <si>
    <t>100nF</t>
  </si>
  <si>
    <t>C4,C5,C6,C7,C8,C36,C37,C39,C40,C41,C47,C52,C53,C54,C55,C56,C64,C43,C68,C69,C70,C71,C72,C86,C87,C92,C93,C94,C95,C96,C101,C102,C103,C38,C106,C107,C113,C114,C118,C119,C120,C121,C122,C129,C130,C135</t>
  </si>
  <si>
    <t>贴片电容(MLCC)</t>
  </si>
  <si>
    <t>100nF ±10% 50V X7R</t>
  </si>
  <si>
    <t>TS-1101-C-W</t>
  </si>
  <si>
    <t>XKB Connection(中国星坤)</t>
  </si>
  <si>
    <t>SW-SMD_L6.0-W3.3-LS8.0_TS-1101-C-W</t>
  </si>
  <si>
    <t>C318938</t>
  </si>
  <si>
    <t>SW1,SW2,SW3,SW4,SW5</t>
  </si>
  <si>
    <t>轻触开关</t>
  </si>
  <si>
    <t>SMD,6x3.6mm</t>
  </si>
  <si>
    <t>单刀单掷 矩形按钮 2.6N 立贴 6mm 3.6mm 2.5mm 不带支架 50mA 12V - 无 - - 5万次 -30℃~+85℃</t>
  </si>
  <si>
    <t>LM2596S-5.0/TR</t>
  </si>
  <si>
    <t>TO-263-5_L10.1-W8.7-P1.70-LS14.4-BR</t>
  </si>
  <si>
    <t>C459077</t>
  </si>
  <si>
    <t>U11,U27,U35,U44,U56</t>
  </si>
  <si>
    <t>HGSEMI(华冠)</t>
  </si>
  <si>
    <t>DC-DC电源芯片</t>
  </si>
  <si>
    <t>TO-263-5</t>
  </si>
  <si>
    <t>降压型 5V~40V 5V 3A 150kHz -40℃~+125℃ 否 1 降压式 5mA 内置 固定 过流保护</t>
  </si>
  <si>
    <t>EEUFC1H681</t>
  </si>
  <si>
    <t>PANASONIC(松下)</t>
  </si>
  <si>
    <t>CAP-TH_BD16.0-P7.60-D1.2-FD</t>
  </si>
  <si>
    <t>C178674</t>
  </si>
  <si>
    <t>680uF</t>
  </si>
  <si>
    <t>C31,C45,C89,C98,C124</t>
  </si>
  <si>
    <t>直插铝电解电容</t>
  </si>
  <si>
    <t>插件,D16xL20mm</t>
  </si>
  <si>
    <t>680uF ±20% 50V 1.835A@100kHz 48mΩ@100kHz 7.5mm 16mm 20mm 5000hrs@105℃ -55℃~+105℃  </t>
  </si>
  <si>
    <t>EEUFC1V221B</t>
  </si>
  <si>
    <t>CAP-TH_BD10.0-P5.00-D1.0-FD</t>
  </si>
  <si>
    <t>C178681</t>
  </si>
  <si>
    <t>220uF</t>
  </si>
  <si>
    <t>C32,C60,C82,C99,C125</t>
  </si>
  <si>
    <t>插件,D10xL12.5mm</t>
  </si>
  <si>
    <t>220uF ±20% 35V 755mA@100kHz 90mΩ@100kHz 5mm 10mm 12.5mm 3000hrs@105℃ -55℃~+105℃</t>
  </si>
  <si>
    <t>CDRH127N-470M</t>
  </si>
  <si>
    <t>MINGSTAR(登壹)</t>
  </si>
  <si>
    <t>IND-SMD_L12.3-W12.3</t>
  </si>
  <si>
    <t>C962356</t>
  </si>
  <si>
    <t>47uH</t>
  </si>
  <si>
    <t>L2,L4,L5,L6,L7</t>
  </si>
  <si>
    <t>功率电感</t>
  </si>
  <si>
    <t>SMD,12.3x12.3mm</t>
  </si>
  <si>
    <t>47uH ±20% 4A - 110mΩ -</t>
  </si>
  <si>
    <t>C27,C59,C81,C97,C123</t>
  </si>
  <si>
    <t>SAMSUNG(三星)</t>
  </si>
  <si>
    <t>CC0603JRNPO9BN220</t>
  </si>
  <si>
    <t>YAGEO(国巨)</t>
  </si>
  <si>
    <t>C105620</t>
  </si>
  <si>
    <t>22pF</t>
  </si>
  <si>
    <t>C33,C34,C61,C62,C83,C84,C110,C111,C126,C127</t>
  </si>
  <si>
    <t>22pF ±5% 50V NP0</t>
  </si>
  <si>
    <t>GL0603UR01</t>
  </si>
  <si>
    <t>Guiguang light(桂光光电)</t>
  </si>
  <si>
    <t>LED0603-FD</t>
  </si>
  <si>
    <t>C51933292</t>
  </si>
  <si>
    <t>LED11,LED12,LED14,LED15,LED13,LED32,LED33,LED18,LED19,LED22,LED23,LED25,LED26,LED27,LED28,LED29,LED30,LED31,LED34,LED35,LED36,LED37,LED38,LED39,LED40,LED41,LED42,LED43,LED44,LED45,LED46,LED47,LED48,LED49,LED50,LED51,LED52,LED53,LED54,LED55,LED56,LED57,LED58,LED59,LED60,LED61,LED62,LED63,LED3,LED4,LED16,LED17</t>
  </si>
  <si>
    <t>发光二极管/LED</t>
  </si>
  <si>
    <t>- 红色 2.4V - 20mA 620nm~625nm - 独立二极管 无色透明透镜 - 120mcd 120° 正贴 -40℃~+85℃</t>
  </si>
  <si>
    <t>AMS1117-3.3V</t>
  </si>
  <si>
    <t>MSKSEMI(美森科)</t>
  </si>
  <si>
    <t>SOT-223-4_L6.5-W3.5-P2.30-LS7.0-TR</t>
  </si>
  <si>
    <t>C5120765</t>
  </si>
  <si>
    <t>U12,U28,U36,U46,U57</t>
  </si>
  <si>
    <t>线性稳压器(LDO)</t>
  </si>
  <si>
    <t>SOT-223</t>
  </si>
  <si>
    <t>正极 15V 3.3V 1A - 1.4V@(1A) 12mA - 热关断；过流保护 0℃~+125℃@(Ta) 固定 1</t>
  </si>
  <si>
    <t>HR913550AE</t>
  </si>
  <si>
    <t>HANRUN(汉仁)</t>
  </si>
  <si>
    <t>RJ45-TH_HR913550AE</t>
  </si>
  <si>
    <t>C192706</t>
  </si>
  <si>
    <t>RJ2</t>
  </si>
  <si>
    <t>以太网连接器(RJ45 RJ11)</t>
  </si>
  <si>
    <t>插件</t>
  </si>
  <si>
    <t>RJ45插座 弯插 1 带LED 有屏蔽 - 不带PoE 带十字脚 磷青铜 金 -40℃~+85℃</t>
  </si>
  <si>
    <t>LAN8720A-CP-TR</t>
  </si>
  <si>
    <t>MICROCHIP(美国微芯)</t>
  </si>
  <si>
    <t>QFN-24_L4.0-W4.0-P0.50-BL-EP2.6</t>
  </si>
  <si>
    <t>C45223</t>
  </si>
  <si>
    <t>U13</t>
  </si>
  <si>
    <t>以太网收发器</t>
  </si>
  <si>
    <t>QFN-24-EP(4x4)</t>
  </si>
  <si>
    <t>PHY收发器 1 RMII 10BASE-T；100BASE-TX 10Mbit/s；100Mbit/s 1.6V~3.6V 0℃~+85℃ 低功耗模式；可编程LED指示；上电复位</t>
  </si>
  <si>
    <t>RC0603FR-074K7L</t>
  </si>
  <si>
    <t>C99782</t>
  </si>
  <si>
    <t>4.7kΩ</t>
  </si>
  <si>
    <t>R7</t>
  </si>
  <si>
    <t>厚膜电阻 4.7kΩ ±1% 100mW 75V ±100ppm/℃ -55℃~+155℃</t>
  </si>
  <si>
    <t>FRC0603F49R9TS</t>
  </si>
  <si>
    <t>FOJAN(富捷)</t>
  </si>
  <si>
    <t>C2930110</t>
  </si>
  <si>
    <t>49.9Ω</t>
  </si>
  <si>
    <t>R9,R10,R11,R12</t>
  </si>
  <si>
    <t>厚膜电阻 49.9Ω ±1% 100mW 75V ±100ppm/℃ -55℃~+155℃</t>
  </si>
  <si>
    <t>PTFR0603B332RP9</t>
  </si>
  <si>
    <t>RESI(开步睿思)</t>
  </si>
  <si>
    <t>C47115912</t>
  </si>
  <si>
    <t>332Ω</t>
  </si>
  <si>
    <t>R14,R15</t>
  </si>
  <si>
    <t>薄膜电阻 332Ω ±0.1% 100mW 100V ±25ppm/℃ -55℃~+155℃</t>
  </si>
  <si>
    <t>CRCW06030000Z0EAHP</t>
  </si>
  <si>
    <t>VISHAY(威世)</t>
  </si>
  <si>
    <t>C844719</t>
  </si>
  <si>
    <t>0Ω</t>
  </si>
  <si>
    <t>R16,R147</t>
  </si>
  <si>
    <t>厚膜电阻 0Ω - 333mW 75V - -55℃~+155℃</t>
  </si>
  <si>
    <t>CL10B223KB8NNNC</t>
  </si>
  <si>
    <t>C21122</t>
  </si>
  <si>
    <t>22nF</t>
  </si>
  <si>
    <t>C42</t>
  </si>
  <si>
    <t>22nF ±10% 50V X7R</t>
  </si>
  <si>
    <t>1.5kΩ</t>
  </si>
  <si>
    <t>R17</t>
  </si>
  <si>
    <t>CL10B471KB8NNNC</t>
  </si>
  <si>
    <t>C22396</t>
  </si>
  <si>
    <t>470pF</t>
  </si>
  <si>
    <t>C44</t>
  </si>
  <si>
    <t>470pF ±10% 50V X7R</t>
  </si>
  <si>
    <t>GZ1608D601TF</t>
  </si>
  <si>
    <t>Sunlord(顺络)</t>
  </si>
  <si>
    <t>L0603</t>
  </si>
  <si>
    <t>C1002</t>
  </si>
  <si>
    <t>L3</t>
  </si>
  <si>
    <t>磁珠</t>
  </si>
  <si>
    <t>600Ω@100MHz ±25% 450mΩ 200mA 1 -55℃~+125℃</t>
  </si>
  <si>
    <t>CGA0603X5R105K500JT</t>
  </si>
  <si>
    <t>C6119852</t>
  </si>
  <si>
    <t>1uF</t>
  </si>
  <si>
    <t>C46</t>
  </si>
  <si>
    <t>1uF ±10% 50V X5R</t>
  </si>
  <si>
    <t>RC0603FR-0710RL</t>
  </si>
  <si>
    <t>C109318</t>
  </si>
  <si>
    <t>10Ω</t>
  </si>
  <si>
    <t>R21,R22,R23,R24</t>
  </si>
  <si>
    <t>厚膜电阻 10Ω ±1% 100mW 75V ±200ppm/℃ -55℃~+155℃</t>
  </si>
  <si>
    <t>SM712</t>
  </si>
  <si>
    <t>R+O(宏嘉诚)</t>
  </si>
  <si>
    <t>SOT-23-3_L2.9-W1.3-P1.90-LS2.4-BR</t>
  </si>
  <si>
    <t>C7420375</t>
  </si>
  <si>
    <t>D3,D11,D12,D20,D21,D23,D35,D36</t>
  </si>
  <si>
    <t>静电和浪涌保护(TVS/ESD)</t>
  </si>
  <si>
    <t>SOT-23</t>
  </si>
  <si>
    <t>双向 12V；7V 23V；26V 12A 300W 7.5V；13.3V 1uA；2uA 双路 -55℃~+125℃ IEC 61000-4-5；IEC 61000-4-2 ESD 75pF  </t>
  </si>
  <si>
    <t>FRC0603F1200TS</t>
  </si>
  <si>
    <t>C2906988</t>
  </si>
  <si>
    <t>120Ω</t>
  </si>
  <si>
    <t>R28,R29,R30,R64,R65,R66,R95,R96,R97,R119,R125,R126,R152</t>
  </si>
  <si>
    <t>厚膜电阻 120Ω ±1% 100mW 75V ±100ppm/℃ -55℃~+155℃</t>
  </si>
  <si>
    <t>RT0603BRD0712K1L</t>
  </si>
  <si>
    <t>C705723</t>
  </si>
  <si>
    <t>12.1kΩ</t>
  </si>
  <si>
    <t>R32</t>
  </si>
  <si>
    <t>薄膜电阻 12.1kΩ ±0.1% 100mW 75V ±25ppm/℃ -55℃~+155℃</t>
  </si>
  <si>
    <t>CL21A106KBYQNNE</t>
  </si>
  <si>
    <t>C0805</t>
  </si>
  <si>
    <t>C2932476</t>
  </si>
  <si>
    <t>10uF</t>
  </si>
  <si>
    <t>C48,C49</t>
  </si>
  <si>
    <t>10uF ±10% 50V X5R</t>
  </si>
  <si>
    <t>33R</t>
  </si>
  <si>
    <t>R33,R34,R36</t>
  </si>
  <si>
    <t>OT2EL4C4JI-111OLP-50M</t>
  </si>
  <si>
    <t>OSC-SMD_4P-L3.2-W2.5-BL</t>
  </si>
  <si>
    <t>C5203552</t>
  </si>
  <si>
    <t>50MHz</t>
  </si>
  <si>
    <t>OSC1</t>
  </si>
  <si>
    <t>有源晶振</t>
  </si>
  <si>
    <t>SMD3225-4P</t>
  </si>
  <si>
    <t>50MHz ±10ppm CMOS 1.8V~3.3V ±20ppm -40℃~+85℃</t>
  </si>
  <si>
    <t>C3</t>
  </si>
  <si>
    <t>0.1uF</t>
  </si>
  <si>
    <t>C9</t>
  </si>
  <si>
    <t>15PF</t>
  </si>
  <si>
    <t>C10</t>
  </si>
  <si>
    <t>MS3485</t>
  </si>
  <si>
    <t>杭州瑞盟</t>
  </si>
  <si>
    <t>SOIC-8_L4.9-W3.9-P1.27-LS6.0-BL</t>
  </si>
  <si>
    <t>C178329</t>
  </si>
  <si>
    <t>U2,U42,U54</t>
  </si>
  <si>
    <t>RS-485/RS-422芯片</t>
  </si>
  <si>
    <t>SOIC-8</t>
  </si>
  <si>
    <t>收发器 1 1 2.5V~6V 10Mbps 256 ±20kV -40℃~+125℃ 480uA 半双工 Tx/Rx启用；使能关断</t>
  </si>
  <si>
    <t>B0505S-1W</t>
  </si>
  <si>
    <t>EVISUN(易成)</t>
  </si>
  <si>
    <t>PWRM-TH_B0505S-1W</t>
  </si>
  <si>
    <t>C7465127</t>
  </si>
  <si>
    <t>U3,U24,U31,U41,U53</t>
  </si>
  <si>
    <t>隔离电源模块</t>
  </si>
  <si>
    <t>SIP-4</t>
  </si>
  <si>
    <t>1 1W 4.5V~5.5V 79% 5V 200mA 100uF 1.5kV - -45℃~+85℃ 77kHz 23mA 60mVp-p</t>
  </si>
  <si>
    <t>GRM21BR61H106KE43L</t>
  </si>
  <si>
    <t>muRata(村田)</t>
  </si>
  <si>
    <t>4.7uF/16V</t>
  </si>
  <si>
    <t>C1,C50,C66,C90,C116</t>
  </si>
  <si>
    <t>10uF/16V</t>
  </si>
  <si>
    <t>C2,C51,C67,C91,C117</t>
  </si>
  <si>
    <t>10KΩ</t>
  </si>
  <si>
    <t>R13</t>
  </si>
  <si>
    <t>10K</t>
  </si>
  <si>
    <t>R27,R35</t>
  </si>
  <si>
    <t>SMAJ36CA</t>
  </si>
  <si>
    <t>Littelfuse(美国力特)</t>
  </si>
  <si>
    <t>SMA_L4.4-W2.6-LS5.0-BI</t>
  </si>
  <si>
    <t>C83266</t>
  </si>
  <si>
    <t>D4,D9,D19,D24,D29,D2</t>
  </si>
  <si>
    <t>DO-214AC(SMA)</t>
  </si>
  <si>
    <t>双向 36V 58.1V 6.9A 400W 40V 6.9uA -65℃~+150℃ TVS</t>
  </si>
  <si>
    <t>1N5819</t>
  </si>
  <si>
    <t>KEXIN(科信)</t>
  </si>
  <si>
    <t>SMA_L4.4-W2.6-LS5.0-RD</t>
  </si>
  <si>
    <t>C437199</t>
  </si>
  <si>
    <t>D13,D14,D22,D30,D31,D32,D37</t>
  </si>
  <si>
    <t>肖特基二极管</t>
  </si>
  <si>
    <t>1个独立式 - 40V 1A - -60℃~+125℃ 40A  </t>
  </si>
  <si>
    <t>1.5k</t>
  </si>
  <si>
    <t>R50,R51,R53,R55,R57,R59,R19,R60,R77,R79,R81,R83,R85,R87,R89,R91</t>
  </si>
  <si>
    <t>R8,R52,R54,R56,R58,R18,R20,R61,R78,R80,R82,R84,R86,R88,R90,R92</t>
  </si>
  <si>
    <t>R38,R39,R40,R41,R42,R43,R44,R45,R105,R106,R107,R108,R109,R110,R111,R112,R131,R132,R133,R134,R135,R136,R137,R138</t>
  </si>
  <si>
    <t>CA-IS3980P</t>
  </si>
  <si>
    <t>Chipanalog(川土微)</t>
  </si>
  <si>
    <t>SSOP-20_L8.7-W3.9-P0.64-LS6.0-BL</t>
  </si>
  <si>
    <t>C5125943</t>
  </si>
  <si>
    <t>U25,U32</t>
  </si>
  <si>
    <t>隔离DI/DO</t>
  </si>
  <si>
    <t>SSOP-20</t>
  </si>
  <si>
    <t>8 - IO输出 2Mbps 2500 300kV/us 双极性输入；输入去抖；输入滤波 -40℃~+125℃</t>
  </si>
  <si>
    <t>FCC0603B222K500CT</t>
  </si>
  <si>
    <t>C5137562</t>
  </si>
  <si>
    <t>2.2nF</t>
  </si>
  <si>
    <t>C57,C58,C11,C12,C13,C14,C15,C16,C73,C74,C75,C76,C77,C78,C79,C80</t>
  </si>
  <si>
    <t>2.2nF ±10% 50V X7R</t>
  </si>
  <si>
    <t>C440198</t>
  </si>
  <si>
    <t>C63,C65,C85,C88,C104,C105,C108,C109,C112,C115,C128,C131</t>
  </si>
  <si>
    <t>PESD24VS2UT</t>
  </si>
  <si>
    <t>UMW(友台半导体)</t>
  </si>
  <si>
    <t>C2831523</t>
  </si>
  <si>
    <t>D5,D6,D7,D8,D15,D16,D17,D18,D25,D26,D27,D28</t>
  </si>
  <si>
    <t>24V 44V 6A@8/20us 300W@8/20us 30V 100nA IEC 61000-4-4；IEC 61000-4-5；IEC 61000-4-2 ESD 30pF</t>
  </si>
  <si>
    <t>FRC0603J511 TS</t>
  </si>
  <si>
    <t>C2907179</t>
  </si>
  <si>
    <t>510Ω</t>
  </si>
  <si>
    <t>R71,R72,R37,R102,R103,R104,R128,R129,R130,R157,R158,R159</t>
  </si>
  <si>
    <t>厚膜电阻 510Ω ±5% 100mW 75V ±100ppm/℃ -55℃~+155℃</t>
  </si>
  <si>
    <t>ms3485</t>
  </si>
  <si>
    <t>ElecSuper(静芯)</t>
  </si>
  <si>
    <t>SOP-8_L4.9-W3.9-P1.27-LS6.0-BL</t>
  </si>
  <si>
    <t>C41365332</t>
  </si>
  <si>
    <t>U8,U34</t>
  </si>
  <si>
    <t>SOP-8</t>
  </si>
  <si>
    <t>收发器 1 1 3V~5.5V 2.5Mbps 32 ±15kV -40℃~+125℃ 1mA 半双工 Tx/Rx启用；热关断保护；使能关断；过流保护；低功耗模式</t>
  </si>
  <si>
    <t>PZ254V-11-02P</t>
  </si>
  <si>
    <t>XFCN(兴飞)</t>
  </si>
  <si>
    <t>HDR-TH_2P-P2.54-V-M</t>
  </si>
  <si>
    <t>C492401</t>
  </si>
  <si>
    <t>H6,H8,H2</t>
  </si>
  <si>
    <t>排针</t>
  </si>
  <si>
    <t>插件,P=2.54mm</t>
  </si>
  <si>
    <t>1x2P 2.54mm - 方针 直插 单排 2P 3A 250V 6mm 2.5mm 3mm 黄铜 - -40℃~+105℃ 黑色</t>
  </si>
  <si>
    <t>PZ254V-11-04P</t>
  </si>
  <si>
    <t>HDR-TH_4P-P2.54-V-M</t>
  </si>
  <si>
    <t>C2691448</t>
  </si>
  <si>
    <t>H7,H9,H1</t>
  </si>
  <si>
    <t>1x4P 2.54mm - 方针 直插 单排 4P 3A 250V 6mm 2.5mm 3mm - -40℃~+105℃ 黑色</t>
  </si>
  <si>
    <t>DRV8803PWPR</t>
  </si>
  <si>
    <t>TI(德州仪器)</t>
  </si>
  <si>
    <t>HTSSOP-16_L5.0-W4.4-P0.65-LS6.4-TL-EP</t>
  </si>
  <si>
    <t>C114177</t>
  </si>
  <si>
    <t>U45,U47</t>
  </si>
  <si>
    <t>栅极驱动芯片</t>
  </si>
  <si>
    <t>HTSSOP-16-EP</t>
  </si>
  <si>
    <t>低边 MOSFET 4 - - 8.2V~60V 50ns 50ns 800ns 800ns 过流保护(OCP)；欠压保护(UVP)；过热保护(OTP) -40℃~+150℃ 2V 700mV - 使能关断；过流保护</t>
  </si>
  <si>
    <t>MA35V100M6X8</t>
  </si>
  <si>
    <t>JIERR(捷而瑞)</t>
  </si>
  <si>
    <t>CAP-SMD_BD6.3-L6.6-W6.6-RD</t>
  </si>
  <si>
    <t>C46550467</t>
  </si>
  <si>
    <t>100uF</t>
  </si>
  <si>
    <t>C100,C35</t>
  </si>
  <si>
    <t>固态电容</t>
  </si>
  <si>
    <t>SMD,D6.3xL7.7mm</t>
  </si>
  <si>
    <t>100uF ±20% 35V 2.9A@100kHz 30mΩ@100kHz 聚合物 6.3mm 7mm 2000hrs@105℃ -55℃~+105℃</t>
  </si>
  <si>
    <t>ADUM1400BRWZ(TOKMAS)</t>
  </si>
  <si>
    <t>Tokmas(托克马斯)</t>
  </si>
  <si>
    <t>SOP-16_L10.3-W7.5-P1.27-LS10.3-BL</t>
  </si>
  <si>
    <t>C7589222</t>
  </si>
  <si>
    <t>U48,U17</t>
  </si>
  <si>
    <t>数字隔离器</t>
  </si>
  <si>
    <t>WB-SOP-16</t>
  </si>
  <si>
    <t>4 0 200Mbps - 5000 120kV/us 16ns 输出状态可配置；失效安全输出 3V~5.5V 3V~5.5V -40℃~+125℃ 4</t>
  </si>
  <si>
    <t>B0505S-1WR3</t>
  </si>
  <si>
    <t>PWRM-TH_B0505S-1WR3</t>
  </si>
  <si>
    <t>C7465178</t>
  </si>
  <si>
    <t>U16,U18</t>
  </si>
  <si>
    <t>SIP,11.7x6mm</t>
  </si>
  <si>
    <t>塑封型 1 1W 4.5V~5.5V 86% 5V 200mA 2400uF 1.5kV 短路保护；自动故障恢复 -40℃~+105℃ 200kHz~340kHz 6mA 30mVp-p 11.68mm 10.2mm 6mm 非稳压型</t>
  </si>
  <si>
    <t>470Ω</t>
  </si>
  <si>
    <t>R150,R151,R148,R149</t>
  </si>
  <si>
    <t>SMBJ15CA</t>
  </si>
  <si>
    <t>SMB_L4.6-W3.6-LS5.4-BI</t>
  </si>
  <si>
    <t>C19077570</t>
  </si>
  <si>
    <t>D33,D34</t>
  </si>
  <si>
    <t>DO-214AA(SMB)</t>
  </si>
  <si>
    <t>双向 15V 24.4V 24.59A@10/1000us 600W@10/1000us 18.5V 5uA -55℃~+150℃ IEC 61000-4-2 TVS</t>
  </si>
  <si>
    <t>OPA2333PIDSGR</t>
  </si>
  <si>
    <t>WSON-8_L2.0-W2.0-P0.65-BL-EP</t>
  </si>
  <si>
    <t>C2058573</t>
  </si>
  <si>
    <t>U4</t>
  </si>
  <si>
    <t>精密运放</t>
  </si>
  <si>
    <t>WSON-8-EP(2x2)</t>
  </si>
  <si>
    <t>双路 1.8V~5.5V 900mV~2.75V；-2.75V~-900mV 2uV 20nV/℃ 350kHz 轨到轨输入,轨到轨输出 0.16V/us 106dB 55nV/√Hz@1kHz 70pA 17uA 65mA 140pA -40℃~+125℃ 内置补偿；零漂移/自动稳零；反相位输入保护</t>
  </si>
  <si>
    <t>RT0603BRD0710KL</t>
  </si>
  <si>
    <t>100Ω</t>
  </si>
  <si>
    <t>R142,R146</t>
  </si>
  <si>
    <t>薄膜电阻 10kΩ ±0.1% 100mW 75V ±25ppm/℃ -55℃~+155℃</t>
  </si>
  <si>
    <t>270Ω</t>
  </si>
  <si>
    <t>R143</t>
  </si>
  <si>
    <t>1KΩ</t>
  </si>
  <si>
    <t>R144,R145</t>
  </si>
  <si>
    <t>C95204</t>
  </si>
  <si>
    <t>R161,R163</t>
  </si>
  <si>
    <t>ERA3AEB332V</t>
  </si>
  <si>
    <t>C445631</t>
  </si>
  <si>
    <t>3.3kΩ</t>
  </si>
  <si>
    <t>R160,R162</t>
  </si>
  <si>
    <t>薄膜电阻 3.3kΩ ±0.1% 100mW 75V ±25ppm/℃ -55℃~+155℃</t>
  </si>
  <si>
    <t>GRM1885C1H103JA01D</t>
  </si>
  <si>
    <t>C85973</t>
  </si>
  <si>
    <t>10nF</t>
  </si>
  <si>
    <t>C132,C133,C134,C136,C137</t>
  </si>
  <si>
    <t>10nF ±5% 50V C0G</t>
  </si>
  <si>
    <t>立创商城没有的元件</t>
  </si>
  <si>
    <t>弹簧式接线端子1*4P</t>
  </si>
  <si>
    <t>弹簧式接线端子1*2p</t>
  </si>
  <si>
    <t>弹簧式接线端子1*3p</t>
  </si>
  <si>
    <t>弹簧式接线端子1*10p</t>
  </si>
  <si>
    <t>总计</t>
  </si>
  <si>
    <t>最终成本：</t>
  </si>
  <si>
    <t>No.</t>
  </si>
  <si>
    <t>Comment</t>
  </si>
  <si>
    <t>Footprint</t>
  </si>
  <si>
    <t>Value</t>
  </si>
  <si>
    <t>Manufacturer Part</t>
  </si>
  <si>
    <t>Manufacturer</t>
  </si>
  <si>
    <t>Supplier Part</t>
  </si>
  <si>
    <t>1</t>
  </si>
  <si>
    <t>C1,C29,C32,C43,C44,C45,C46,C47,C48,C57,C58</t>
  </si>
  <si>
    <t/>
  </si>
  <si>
    <t>本BOM表可以在嘉立创EDA中导出，使用时请删除红色示例部分。</t>
  </si>
  <si>
    <t>2</t>
  </si>
  <si>
    <t>C2</t>
  </si>
  <si>
    <t>3</t>
  </si>
  <si>
    <t>9pF</t>
  </si>
  <si>
    <t>C3,C4</t>
  </si>
  <si>
    <t>CC0603CRNPO9BN9R0</t>
  </si>
  <si>
    <t>C282076</t>
  </si>
  <si>
    <t>4</t>
  </si>
  <si>
    <t>10pF</t>
  </si>
  <si>
    <t>C5,C6</t>
  </si>
  <si>
    <t>CL10C100JB8NNNC</t>
  </si>
  <si>
    <t>C1634</t>
  </si>
  <si>
    <t>5</t>
  </si>
  <si>
    <t>C8,C10,C12,C14</t>
  </si>
  <si>
    <t>CC0603KRX7R9BB103</t>
  </si>
  <si>
    <t>6</t>
  </si>
  <si>
    <t>4.7uF</t>
  </si>
  <si>
    <t>C16</t>
  </si>
  <si>
    <t>7</t>
  </si>
  <si>
    <t>22uF</t>
  </si>
  <si>
    <t>C28</t>
  </si>
  <si>
    <t>CASE-A_3216</t>
  </si>
  <si>
    <t>TAJA226K010RNJ</t>
  </si>
  <si>
    <t>Kyocera AVX</t>
  </si>
  <si>
    <t>C11366</t>
  </si>
  <si>
    <r>
      <rPr>
        <sz val="11"/>
        <color theme="1"/>
        <rFont val="等线"/>
        <charset val="134"/>
        <scheme val="minor"/>
      </rPr>
      <t xml:space="preserve">按照竞赛规则，立创商城有的器件（按型号算，不论厂家），一律以立创商城价格为准，不接受其他渠道价格。
</t>
    </r>
    <r>
      <rPr>
        <sz val="11"/>
        <color rgb="FFFF0000"/>
        <rFont val="等线"/>
        <charset val="134"/>
        <scheme val="minor"/>
      </rPr>
      <t>如发现某一器件未采用立创商城价格，则组委会根据立创商城同型号器件的最高价格*1.5计算，溢价作为处罚。</t>
    </r>
  </si>
  <si>
    <r>
      <rPr>
        <sz val="11"/>
        <color theme="1"/>
        <rFont val="等线"/>
        <charset val="134"/>
        <scheme val="minor"/>
      </rPr>
      <t>实际核算时，按立创商城BOM配料</t>
    </r>
    <r>
      <rPr>
        <sz val="11"/>
        <color rgb="FFFF0000"/>
        <rFont val="等线"/>
        <charset val="134"/>
        <scheme val="minor"/>
      </rPr>
      <t>50套生产/50</t>
    </r>
    <r>
      <rPr>
        <sz val="11"/>
        <color theme="1"/>
        <rFont val="等线"/>
        <charset val="134"/>
        <scheme val="minor"/>
      </rPr>
      <t>的价格进行计算</t>
    </r>
  </si>
  <si>
    <t>采购合同/付款凭证的文件名</t>
  </si>
  <si>
    <t>如果实际采购过程中存在立创商城没有的物料，需提交供应商的采购合同与付款凭证文件，以此为依据计算物料总价</t>
  </si>
  <si>
    <t>推荐芯片核算价格如下：
MCU：GD32F527RMT7          23元/PCS
ADC：GD30AD3344AMTR-I   8.9元/PCS
PHY：GD30PH201DKUTR-K   5元/PCS
DCDC：GD30DC1354SSTR-I   1.7元/PCS
Flash：GD25Q40ETIGR           2.2元/PCS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</si>
</sst>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0"/>
      <color theme="1"/>
      <name val="Arial"/>
      <family val="2"/>
    </font>
    <font>
      <b/>
      <sz val="10"/>
      <color theme="1"/>
      <name val="宋体"/>
      <charset val="134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4960"/>
      <name val="Arial"/>
      <family val="2"/>
    </font>
    <font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FBFF"/>
        <bgColor indexed="64"/>
      </patternFill>
    </fill>
    <fill>
      <patternFill patternType="solid">
        <fgColor rgb="FFFFF3C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2E4E8"/>
      </left>
      <right style="thin">
        <color rgb="FFE2E4E8"/>
      </right>
      <top style="thin">
        <color rgb="FFE2E4E8"/>
      </top>
      <bottom style="thin">
        <color rgb="FFE2E4E8"/>
      </bottom>
      <diagonal/>
    </border>
    <border>
      <left style="thin">
        <color rgb="FFE2E4E8"/>
      </left>
      <right style="dashed">
        <color rgb="FF0093E6"/>
      </right>
      <top style="thin">
        <color rgb="FFE2E4E8"/>
      </top>
      <bottom style="thin">
        <color rgb="FFE2E4E8"/>
      </bottom>
      <diagonal/>
    </border>
    <border>
      <left style="dashed">
        <color rgb="FF0093E6"/>
      </left>
      <right style="thin">
        <color rgb="FFE2E4E8"/>
      </right>
      <top style="thin">
        <color rgb="FFE2E4E8"/>
      </top>
      <bottom style="thin">
        <color rgb="FFE2E4E8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33">
    <xf numFmtId="0" fontId="0" fillId="0" borderId="0" xfId="0">
      <alignment vertical="center"/>
    </xf>
    <xf numFmtId="0" fontId="6" fillId="0" borderId="0" xfId="1"/>
    <xf numFmtId="0" fontId="1" fillId="0" borderId="0" xfId="1" applyFont="1"/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6" fillId="5" borderId="0" xfId="0" applyFont="1" applyFill="1">
      <alignment vertical="center"/>
    </xf>
    <xf numFmtId="0" fontId="6" fillId="0" borderId="0" xfId="0" applyFont="1">
      <alignment vertical="center"/>
    </xf>
    <xf numFmtId="49" fontId="7" fillId="6" borderId="5" xfId="0" applyNumberFormat="1" applyFont="1" applyFill="1" applyBorder="1" applyAlignment="1">
      <alignment horizontal="left" vertical="center"/>
    </xf>
    <xf numFmtId="49" fontId="7" fillId="7" borderId="5" xfId="0" applyNumberFormat="1" applyFont="1" applyFill="1" applyBorder="1" applyAlignment="1">
      <alignment horizontal="left" vertical="center"/>
    </xf>
    <xf numFmtId="49" fontId="7" fillId="7" borderId="6" xfId="0" applyNumberFormat="1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49" fontId="9" fillId="7" borderId="5" xfId="0" applyNumberFormat="1" applyFont="1" applyFill="1" applyBorder="1" applyAlignment="1">
      <alignment horizontal="left" vertical="center"/>
    </xf>
    <xf numFmtId="49" fontId="9" fillId="6" borderId="5" xfId="0" applyNumberFormat="1" applyFont="1" applyFill="1" applyBorder="1" applyAlignment="1">
      <alignment horizontal="left" vertical="center"/>
    </xf>
    <xf numFmtId="49" fontId="9" fillId="6" borderId="6" xfId="0" applyNumberFormat="1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zoomScale="115" zoomScaleNormal="115" workbookViewId="0">
      <selection activeCell="E4" sqref="E4"/>
    </sheetView>
  </sheetViews>
  <sheetFormatPr defaultColWidth="9" defaultRowHeight="13.8" x14ac:dyDescent="0.25"/>
  <cols>
    <col min="1" max="1" width="12.44140625" customWidth="1"/>
    <col min="2" max="2" width="17.77734375" customWidth="1"/>
    <col min="3" max="3" width="20.77734375" customWidth="1"/>
    <col min="4" max="4" width="23.21875" customWidth="1"/>
    <col min="7" max="7" width="19.6640625" customWidth="1"/>
    <col min="8" max="8" width="27" customWidth="1"/>
    <col min="9" max="9" width="17.88671875" customWidth="1"/>
  </cols>
  <sheetData>
    <row r="1" spans="1:18" ht="13.8" customHeight="1" x14ac:dyDescent="0.25">
      <c r="A1" s="29" t="s">
        <v>0</v>
      </c>
      <c r="B1" s="29"/>
      <c r="C1" s="29"/>
      <c r="D1" s="29"/>
      <c r="E1" s="3"/>
      <c r="F1" s="3"/>
      <c r="G1" s="3"/>
      <c r="H1" s="3"/>
      <c r="I1" s="3"/>
      <c r="J1" s="3"/>
    </row>
    <row r="2" spans="1:18" ht="22.8" customHeight="1" x14ac:dyDescent="0.25">
      <c r="A2" s="29"/>
      <c r="B2" s="29"/>
      <c r="C2" s="29"/>
      <c r="D2" s="29"/>
      <c r="E2" s="3"/>
      <c r="F2" s="3"/>
      <c r="G2" s="3"/>
      <c r="H2" s="3"/>
      <c r="I2" s="3"/>
      <c r="J2" s="3"/>
    </row>
    <row r="3" spans="1:18" ht="24" customHeight="1" x14ac:dyDescent="0.25">
      <c r="A3" t="s">
        <v>1</v>
      </c>
      <c r="B3" s="4">
        <v>2026512205</v>
      </c>
    </row>
    <row r="4" spans="1:18" ht="24" customHeight="1" x14ac:dyDescent="0.25"/>
    <row r="5" spans="1:18" ht="19.8" customHeight="1" x14ac:dyDescent="0.25">
      <c r="A5" s="23" t="s">
        <v>2</v>
      </c>
      <c r="B5" s="23"/>
      <c r="C5" s="23"/>
      <c r="D5" s="23"/>
    </row>
    <row r="6" spans="1:18" ht="24" customHeight="1" x14ac:dyDescent="0.25">
      <c r="A6" s="24" t="s">
        <v>3</v>
      </c>
      <c r="B6" s="25"/>
      <c r="C6" s="25"/>
      <c r="D6" s="25"/>
      <c r="F6" s="24" t="s">
        <v>4</v>
      </c>
      <c r="G6" s="25"/>
      <c r="H6" s="25"/>
      <c r="I6" s="25"/>
      <c r="L6" s="30" t="s">
        <v>5</v>
      </c>
      <c r="M6" s="31"/>
      <c r="N6" s="31"/>
      <c r="O6" s="31"/>
      <c r="P6" s="31"/>
    </row>
    <row r="7" spans="1:18" ht="24" customHeight="1" x14ac:dyDescent="0.25">
      <c r="A7" s="5" t="s">
        <v>6</v>
      </c>
      <c r="B7" s="5">
        <v>2</v>
      </c>
      <c r="C7" s="5" t="s">
        <v>7</v>
      </c>
      <c r="D7" s="5">
        <v>88.093800000000002</v>
      </c>
      <c r="F7" s="5" t="s">
        <v>6</v>
      </c>
      <c r="G7" s="5">
        <v>3</v>
      </c>
      <c r="H7" s="5" t="s">
        <v>7</v>
      </c>
      <c r="I7" s="5">
        <v>40.391599999999997</v>
      </c>
      <c r="L7" s="31"/>
      <c r="M7" s="31"/>
      <c r="N7" s="31"/>
      <c r="O7" s="31"/>
      <c r="P7" s="31"/>
    </row>
    <row r="8" spans="1:18" ht="24" customHeight="1" x14ac:dyDescent="0.25">
      <c r="A8" s="5" t="s">
        <v>8</v>
      </c>
      <c r="B8" s="5">
        <v>244</v>
      </c>
      <c r="C8" s="5" t="s">
        <v>9</v>
      </c>
      <c r="D8" s="5">
        <v>33</v>
      </c>
      <c r="F8" s="5" t="s">
        <v>8</v>
      </c>
      <c r="G8" s="5">
        <v>313</v>
      </c>
      <c r="H8" s="5" t="s">
        <v>9</v>
      </c>
      <c r="I8" s="5">
        <v>40</v>
      </c>
      <c r="L8" s="31"/>
      <c r="M8" s="31"/>
      <c r="N8" s="31"/>
      <c r="O8" s="31"/>
      <c r="P8" s="31"/>
    </row>
    <row r="9" spans="1:18" ht="24" customHeight="1" x14ac:dyDescent="0.25">
      <c r="A9" s="5" t="s">
        <v>10</v>
      </c>
      <c r="B9" s="5">
        <f>B7*D7/5</f>
        <v>35.237520000000004</v>
      </c>
      <c r="C9" s="5" t="s">
        <v>11</v>
      </c>
      <c r="D9" s="5">
        <f>B8*0.017+D8*0.1</f>
        <v>7.4480000000000004</v>
      </c>
      <c r="F9" s="5" t="s">
        <v>10</v>
      </c>
      <c r="G9" s="5">
        <f>G7*I7/5</f>
        <v>24.234960000000001</v>
      </c>
      <c r="H9" s="5" t="s">
        <v>11</v>
      </c>
      <c r="I9" s="5">
        <f>G8*0.017+I8*0.1</f>
        <v>9.3209999999999997</v>
      </c>
      <c r="L9" s="31"/>
      <c r="M9" s="31"/>
      <c r="N9" s="31"/>
      <c r="O9" s="31"/>
      <c r="P9" s="31"/>
    </row>
    <row r="10" spans="1:18" ht="25.2" customHeight="1" x14ac:dyDescent="0.25">
      <c r="A10" s="5" t="s">
        <v>12</v>
      </c>
      <c r="B10" s="26">
        <f>B9+D9</f>
        <v>42.685519999999997</v>
      </c>
      <c r="C10" s="27"/>
      <c r="D10" s="28"/>
      <c r="F10" s="5" t="s">
        <v>12</v>
      </c>
      <c r="G10" s="26">
        <f>G9+I9</f>
        <v>33.555959999999999</v>
      </c>
      <c r="H10" s="27"/>
      <c r="I10" s="28"/>
      <c r="L10" s="31"/>
      <c r="M10" s="31"/>
      <c r="N10" s="31"/>
      <c r="O10" s="31"/>
      <c r="P10" s="31"/>
    </row>
    <row r="11" spans="1:18" ht="24" customHeight="1" x14ac:dyDescent="0.25">
      <c r="A11" s="24" t="s">
        <v>13</v>
      </c>
      <c r="B11" s="25"/>
      <c r="C11" s="25"/>
      <c r="D11" s="25"/>
      <c r="F11" s="24" t="s">
        <v>14</v>
      </c>
      <c r="G11" s="25"/>
      <c r="H11" s="25"/>
      <c r="I11" s="25"/>
      <c r="L11" s="31"/>
      <c r="M11" s="31"/>
      <c r="N11" s="31"/>
      <c r="O11" s="31"/>
      <c r="P11" s="31"/>
    </row>
    <row r="12" spans="1:18" ht="24" customHeight="1" x14ac:dyDescent="0.25">
      <c r="A12" s="5" t="s">
        <v>6</v>
      </c>
      <c r="B12" s="5">
        <v>2</v>
      </c>
      <c r="C12" s="5" t="s">
        <v>7</v>
      </c>
      <c r="D12" s="5">
        <v>40.391599999999997</v>
      </c>
      <c r="F12" s="5" t="s">
        <v>6</v>
      </c>
      <c r="G12" s="5">
        <v>2</v>
      </c>
      <c r="H12" s="5" t="s">
        <v>7</v>
      </c>
      <c r="I12" s="5">
        <v>40.391599999999997</v>
      </c>
    </row>
    <row r="13" spans="1:18" ht="24" customHeight="1" x14ac:dyDescent="0.25">
      <c r="A13" s="5" t="s">
        <v>8</v>
      </c>
      <c r="B13" s="5">
        <v>280</v>
      </c>
      <c r="C13" s="5" t="s">
        <v>9</v>
      </c>
      <c r="D13" s="5">
        <v>32</v>
      </c>
      <c r="F13" s="5" t="s">
        <v>8</v>
      </c>
      <c r="G13" s="5">
        <v>213</v>
      </c>
      <c r="H13" s="5" t="s">
        <v>9</v>
      </c>
      <c r="I13" s="5">
        <v>26</v>
      </c>
    </row>
    <row r="14" spans="1:18" ht="24" customHeight="1" x14ac:dyDescent="0.25">
      <c r="A14" s="5" t="s">
        <v>10</v>
      </c>
      <c r="B14" s="5">
        <f>B12*D12/5</f>
        <v>16.156639999999999</v>
      </c>
      <c r="C14" s="5" t="s">
        <v>11</v>
      </c>
      <c r="D14" s="5">
        <f>B13*0.017+D13*0.1</f>
        <v>7.96</v>
      </c>
      <c r="F14" s="5" t="s">
        <v>10</v>
      </c>
      <c r="G14" s="5">
        <f>G12*I12/5</f>
        <v>16.156639999999999</v>
      </c>
      <c r="H14" s="5" t="s">
        <v>11</v>
      </c>
      <c r="I14" s="5">
        <f>G13*0.017+I13*0.1</f>
        <v>6.2210000000000001</v>
      </c>
    </row>
    <row r="15" spans="1:18" ht="27" customHeight="1" x14ac:dyDescent="0.25">
      <c r="A15" s="5" t="s">
        <v>12</v>
      </c>
      <c r="B15" s="26">
        <f>B14+D14</f>
        <v>24.11664</v>
      </c>
      <c r="C15" s="27"/>
      <c r="D15" s="28"/>
      <c r="F15" s="5" t="s">
        <v>12</v>
      </c>
      <c r="G15" s="26">
        <f>G14+I14</f>
        <v>22.37764</v>
      </c>
      <c r="H15" s="27"/>
      <c r="I15" s="28"/>
    </row>
    <row r="16" spans="1:18" x14ac:dyDescent="0.25">
      <c r="A16" s="6" t="s">
        <v>15</v>
      </c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25">
      <c r="A17" s="8" t="s">
        <v>16</v>
      </c>
      <c r="B17" s="9" t="s">
        <v>17</v>
      </c>
      <c r="C17" s="9" t="s">
        <v>18</v>
      </c>
      <c r="D17" s="9" t="s">
        <v>19</v>
      </c>
      <c r="E17" s="10" t="s">
        <v>20</v>
      </c>
      <c r="F17" s="11" t="s">
        <v>21</v>
      </c>
      <c r="G17" s="11" t="s">
        <v>22</v>
      </c>
      <c r="H17" s="11" t="s">
        <v>23</v>
      </c>
      <c r="I17" s="11" t="s">
        <v>24</v>
      </c>
      <c r="J17" s="11" t="s">
        <v>25</v>
      </c>
      <c r="K17" s="11" t="s">
        <v>26</v>
      </c>
      <c r="L17" s="12" t="s">
        <v>27</v>
      </c>
      <c r="M17" s="12" t="s">
        <v>28</v>
      </c>
      <c r="N17" s="12" t="s">
        <v>29</v>
      </c>
      <c r="O17" s="13" t="s">
        <v>30</v>
      </c>
      <c r="P17" s="12" t="s">
        <v>31</v>
      </c>
      <c r="Q17" s="12" t="s">
        <v>32</v>
      </c>
      <c r="R17" s="12" t="s">
        <v>33</v>
      </c>
    </row>
    <row r="18" spans="1:18" x14ac:dyDescent="0.25">
      <c r="A18" s="14" t="s">
        <v>34</v>
      </c>
      <c r="B18" s="15" t="s">
        <v>35</v>
      </c>
      <c r="C18" s="15" t="s">
        <v>36</v>
      </c>
      <c r="D18" s="15"/>
      <c r="E18" s="16" t="s">
        <v>37</v>
      </c>
      <c r="F18" s="17">
        <v>1</v>
      </c>
      <c r="G18" s="17" t="s">
        <v>34</v>
      </c>
      <c r="H18" s="17" t="s">
        <v>38</v>
      </c>
      <c r="I18" s="17">
        <v>5</v>
      </c>
      <c r="J18" s="17" t="s">
        <v>39</v>
      </c>
      <c r="K18" s="18" t="s">
        <v>35</v>
      </c>
      <c r="L18" s="19" t="s">
        <v>40</v>
      </c>
      <c r="M18" s="20" t="s">
        <v>41</v>
      </c>
      <c r="N18" s="19" t="s">
        <v>42</v>
      </c>
      <c r="O18" s="19">
        <v>5</v>
      </c>
      <c r="P18" s="19">
        <v>19</v>
      </c>
      <c r="Q18" s="19">
        <v>0</v>
      </c>
      <c r="R18" s="19">
        <f t="shared" ref="R18:R81" si="0">O18*P18</f>
        <v>95</v>
      </c>
    </row>
    <row r="19" spans="1:18" x14ac:dyDescent="0.25">
      <c r="A19" s="14" t="s">
        <v>43</v>
      </c>
      <c r="B19" s="15" t="s">
        <v>44</v>
      </c>
      <c r="C19" s="15" t="s">
        <v>45</v>
      </c>
      <c r="D19" s="15"/>
      <c r="E19" s="16" t="s">
        <v>46</v>
      </c>
      <c r="F19" s="17">
        <v>2</v>
      </c>
      <c r="G19" s="17" t="s">
        <v>47</v>
      </c>
      <c r="H19" s="17" t="s">
        <v>48</v>
      </c>
      <c r="I19" s="17">
        <v>5</v>
      </c>
      <c r="J19" s="17" t="s">
        <v>39</v>
      </c>
      <c r="K19" s="18" t="s">
        <v>44</v>
      </c>
      <c r="L19" s="19" t="s">
        <v>49</v>
      </c>
      <c r="M19" s="20" t="s">
        <v>50</v>
      </c>
      <c r="N19" s="19" t="s">
        <v>51</v>
      </c>
      <c r="O19" s="19">
        <v>5</v>
      </c>
      <c r="P19" s="19">
        <v>0.61070000000000002</v>
      </c>
      <c r="Q19" s="19">
        <v>0</v>
      </c>
      <c r="R19" s="19">
        <f t="shared" si="0"/>
        <v>3.0535000000000001</v>
      </c>
    </row>
    <row r="20" spans="1:18" x14ac:dyDescent="0.25">
      <c r="A20" s="14" t="s">
        <v>52</v>
      </c>
      <c r="B20" s="15" t="s">
        <v>53</v>
      </c>
      <c r="C20" s="15" t="s">
        <v>54</v>
      </c>
      <c r="D20" s="15"/>
      <c r="E20" s="16" t="s">
        <v>55</v>
      </c>
      <c r="F20" s="17">
        <v>3</v>
      </c>
      <c r="G20" s="17" t="s">
        <v>56</v>
      </c>
      <c r="H20" s="17" t="s">
        <v>57</v>
      </c>
      <c r="I20" s="17">
        <v>46</v>
      </c>
      <c r="J20" s="17" t="s">
        <v>39</v>
      </c>
      <c r="K20" s="18" t="s">
        <v>53</v>
      </c>
      <c r="L20" s="19" t="s">
        <v>58</v>
      </c>
      <c r="M20" s="19">
        <v>603</v>
      </c>
      <c r="N20" s="19" t="s">
        <v>59</v>
      </c>
      <c r="O20" s="19">
        <v>46</v>
      </c>
      <c r="P20" s="19">
        <v>1.2200000000000001E-2</v>
      </c>
      <c r="Q20" s="19">
        <v>0</v>
      </c>
      <c r="R20" s="19">
        <f t="shared" si="0"/>
        <v>0.56120000000000003</v>
      </c>
    </row>
    <row r="21" spans="1:18" x14ac:dyDescent="0.25">
      <c r="A21" s="14" t="s">
        <v>60</v>
      </c>
      <c r="B21" s="15" t="s">
        <v>61</v>
      </c>
      <c r="C21" s="15" t="s">
        <v>62</v>
      </c>
      <c r="D21" s="15"/>
      <c r="E21" s="16" t="s">
        <v>63</v>
      </c>
      <c r="F21" s="17">
        <v>4</v>
      </c>
      <c r="G21" s="17" t="s">
        <v>64</v>
      </c>
      <c r="H21" s="17" t="s">
        <v>65</v>
      </c>
      <c r="I21" s="17">
        <v>46</v>
      </c>
      <c r="J21" s="17" t="s">
        <v>39</v>
      </c>
      <c r="K21" s="18" t="s">
        <v>61</v>
      </c>
      <c r="L21" s="19" t="s">
        <v>66</v>
      </c>
      <c r="M21" s="19">
        <v>603</v>
      </c>
      <c r="N21" s="19" t="s">
        <v>67</v>
      </c>
      <c r="O21" s="19">
        <v>46</v>
      </c>
      <c r="P21" s="19">
        <v>0.1007</v>
      </c>
      <c r="Q21" s="19">
        <v>0</v>
      </c>
      <c r="R21" s="19">
        <f t="shared" si="0"/>
        <v>4.6322000000000001</v>
      </c>
    </row>
    <row r="22" spans="1:18" x14ac:dyDescent="0.25">
      <c r="A22" s="14" t="s">
        <v>68</v>
      </c>
      <c r="B22" s="15" t="s">
        <v>69</v>
      </c>
      <c r="C22" s="15" t="s">
        <v>70</v>
      </c>
      <c r="D22" s="15"/>
      <c r="E22" s="16" t="s">
        <v>71</v>
      </c>
      <c r="F22" s="17">
        <v>5</v>
      </c>
      <c r="G22" s="17" t="s">
        <v>68</v>
      </c>
      <c r="H22" s="17" t="s">
        <v>72</v>
      </c>
      <c r="I22" s="17">
        <v>5</v>
      </c>
      <c r="J22" s="17" t="s">
        <v>39</v>
      </c>
      <c r="K22" s="18" t="s">
        <v>69</v>
      </c>
      <c r="L22" s="19" t="s">
        <v>73</v>
      </c>
      <c r="M22" s="20" t="s">
        <v>74</v>
      </c>
      <c r="N22" s="19" t="s">
        <v>75</v>
      </c>
      <c r="O22" s="19">
        <v>5</v>
      </c>
      <c r="P22" s="19">
        <v>0.25790000000000002</v>
      </c>
      <c r="Q22" s="19">
        <v>0</v>
      </c>
      <c r="R22" s="19">
        <f t="shared" si="0"/>
        <v>1.2895000000000001</v>
      </c>
    </row>
    <row r="23" spans="1:18" x14ac:dyDescent="0.25">
      <c r="A23" s="14" t="s">
        <v>76</v>
      </c>
      <c r="B23" s="15"/>
      <c r="C23" s="15" t="s">
        <v>77</v>
      </c>
      <c r="D23" s="15"/>
      <c r="E23" s="16" t="s">
        <v>78</v>
      </c>
      <c r="F23" s="17">
        <v>6</v>
      </c>
      <c r="G23" s="17" t="s">
        <v>76</v>
      </c>
      <c r="H23" s="17" t="s">
        <v>79</v>
      </c>
      <c r="I23" s="17">
        <v>5</v>
      </c>
      <c r="J23" s="17" t="s">
        <v>39</v>
      </c>
      <c r="K23" s="18" t="s">
        <v>80</v>
      </c>
      <c r="L23" s="19" t="s">
        <v>81</v>
      </c>
      <c r="M23" s="20" t="s">
        <v>82</v>
      </c>
      <c r="N23" s="19" t="s">
        <v>83</v>
      </c>
      <c r="O23" s="19">
        <v>5</v>
      </c>
      <c r="P23" s="19">
        <v>3.28</v>
      </c>
      <c r="Q23" s="19">
        <v>0</v>
      </c>
      <c r="R23" s="19">
        <f t="shared" si="0"/>
        <v>16.399999999999999</v>
      </c>
    </row>
    <row r="24" spans="1:18" x14ac:dyDescent="0.25">
      <c r="A24" s="14" t="s">
        <v>84</v>
      </c>
      <c r="B24" s="15" t="s">
        <v>85</v>
      </c>
      <c r="C24" s="15" t="s">
        <v>86</v>
      </c>
      <c r="D24" s="15"/>
      <c r="E24" s="16" t="s">
        <v>87</v>
      </c>
      <c r="F24" s="17">
        <v>7</v>
      </c>
      <c r="G24" s="17" t="s">
        <v>88</v>
      </c>
      <c r="H24" s="17" t="s">
        <v>89</v>
      </c>
      <c r="I24" s="17">
        <v>5</v>
      </c>
      <c r="J24" s="17" t="s">
        <v>39</v>
      </c>
      <c r="K24" s="18" t="s">
        <v>85</v>
      </c>
      <c r="L24" s="19" t="s">
        <v>90</v>
      </c>
      <c r="M24" s="20" t="s">
        <v>91</v>
      </c>
      <c r="N24" s="19" t="s">
        <v>92</v>
      </c>
      <c r="O24" s="19">
        <v>5</v>
      </c>
      <c r="P24" s="19">
        <v>6.83</v>
      </c>
      <c r="Q24" s="19">
        <v>0</v>
      </c>
      <c r="R24" s="19">
        <f t="shared" si="0"/>
        <v>34.15</v>
      </c>
    </row>
    <row r="25" spans="1:18" x14ac:dyDescent="0.25">
      <c r="A25" s="14" t="s">
        <v>93</v>
      </c>
      <c r="B25" s="15" t="s">
        <v>85</v>
      </c>
      <c r="C25" s="15" t="s">
        <v>94</v>
      </c>
      <c r="D25" s="15"/>
      <c r="E25" s="16" t="s">
        <v>95</v>
      </c>
      <c r="F25" s="17">
        <v>8</v>
      </c>
      <c r="G25" s="17" t="s">
        <v>96</v>
      </c>
      <c r="H25" s="17" t="s">
        <v>97</v>
      </c>
      <c r="I25" s="17">
        <v>5</v>
      </c>
      <c r="J25" s="17" t="s">
        <v>39</v>
      </c>
      <c r="K25" s="18" t="s">
        <v>85</v>
      </c>
      <c r="L25" s="19" t="s">
        <v>90</v>
      </c>
      <c r="M25" s="20" t="s">
        <v>98</v>
      </c>
      <c r="N25" s="19" t="s">
        <v>99</v>
      </c>
      <c r="O25" s="19">
        <v>5</v>
      </c>
      <c r="P25" s="19">
        <v>2.0897999999999999</v>
      </c>
      <c r="Q25" s="19">
        <v>0</v>
      </c>
      <c r="R25" s="19">
        <f t="shared" si="0"/>
        <v>10.449</v>
      </c>
    </row>
    <row r="26" spans="1:18" x14ac:dyDescent="0.25">
      <c r="A26" s="14" t="s">
        <v>100</v>
      </c>
      <c r="B26" s="15" t="s">
        <v>101</v>
      </c>
      <c r="C26" s="15" t="s">
        <v>102</v>
      </c>
      <c r="D26" s="15"/>
      <c r="E26" s="16" t="s">
        <v>103</v>
      </c>
      <c r="F26" s="17">
        <v>9</v>
      </c>
      <c r="G26" s="17" t="s">
        <v>104</v>
      </c>
      <c r="H26" s="17" t="s">
        <v>105</v>
      </c>
      <c r="I26" s="17">
        <v>5</v>
      </c>
      <c r="J26" s="17" t="s">
        <v>39</v>
      </c>
      <c r="K26" s="18" t="s">
        <v>101</v>
      </c>
      <c r="L26" s="19" t="s">
        <v>106</v>
      </c>
      <c r="M26" s="20" t="s">
        <v>107</v>
      </c>
      <c r="N26" s="19" t="s">
        <v>108</v>
      </c>
      <c r="O26" s="19">
        <v>5</v>
      </c>
      <c r="P26" s="19">
        <v>1.7846</v>
      </c>
      <c r="Q26" s="19">
        <v>0</v>
      </c>
      <c r="R26" s="19">
        <f t="shared" si="0"/>
        <v>8.923</v>
      </c>
    </row>
    <row r="27" spans="1:18" x14ac:dyDescent="0.25">
      <c r="A27" s="14"/>
      <c r="B27" s="15"/>
      <c r="C27" s="15" t="s">
        <v>62</v>
      </c>
      <c r="D27" s="15"/>
      <c r="E27" s="16"/>
      <c r="F27" s="17">
        <v>10</v>
      </c>
      <c r="G27" s="17" t="s">
        <v>64</v>
      </c>
      <c r="H27" s="17" t="s">
        <v>109</v>
      </c>
      <c r="I27" s="17">
        <v>5</v>
      </c>
      <c r="J27" s="17"/>
      <c r="K27" s="18" t="s">
        <v>110</v>
      </c>
      <c r="L27" s="19" t="s">
        <v>66</v>
      </c>
      <c r="M27" s="19">
        <v>603</v>
      </c>
      <c r="N27" s="19" t="s">
        <v>67</v>
      </c>
      <c r="O27" s="19">
        <v>5</v>
      </c>
      <c r="P27" s="19">
        <v>0.14940000000000001</v>
      </c>
      <c r="Q27" s="19">
        <v>0</v>
      </c>
      <c r="R27" s="19">
        <f t="shared" si="0"/>
        <v>0.747</v>
      </c>
    </row>
    <row r="28" spans="1:18" x14ac:dyDescent="0.25">
      <c r="A28" s="14" t="s">
        <v>111</v>
      </c>
      <c r="B28" s="15" t="s">
        <v>112</v>
      </c>
      <c r="C28" s="15" t="s">
        <v>62</v>
      </c>
      <c r="D28" s="15"/>
      <c r="E28" s="16" t="s">
        <v>113</v>
      </c>
      <c r="F28" s="17">
        <v>11</v>
      </c>
      <c r="G28" s="17" t="s">
        <v>114</v>
      </c>
      <c r="H28" s="17" t="s">
        <v>115</v>
      </c>
      <c r="I28" s="17">
        <v>10</v>
      </c>
      <c r="J28" s="17" t="s">
        <v>39</v>
      </c>
      <c r="K28" s="18" t="s">
        <v>112</v>
      </c>
      <c r="L28" s="19" t="s">
        <v>66</v>
      </c>
      <c r="M28" s="19">
        <v>603</v>
      </c>
      <c r="N28" s="19" t="s">
        <v>116</v>
      </c>
      <c r="O28" s="19">
        <v>10</v>
      </c>
      <c r="P28" s="19">
        <v>5.2400000000000002E-2</v>
      </c>
      <c r="Q28" s="19">
        <v>0</v>
      </c>
      <c r="R28" s="19">
        <f t="shared" si="0"/>
        <v>0.52400000000000002</v>
      </c>
    </row>
    <row r="29" spans="1:18" x14ac:dyDescent="0.25">
      <c r="A29" s="14" t="s">
        <v>117</v>
      </c>
      <c r="B29" s="15" t="s">
        <v>118</v>
      </c>
      <c r="C29" s="15" t="s">
        <v>119</v>
      </c>
      <c r="D29" s="15"/>
      <c r="E29" s="16" t="s">
        <v>120</v>
      </c>
      <c r="F29" s="17">
        <v>12</v>
      </c>
      <c r="G29" s="17" t="s">
        <v>117</v>
      </c>
      <c r="H29" s="17" t="s">
        <v>121</v>
      </c>
      <c r="I29" s="17">
        <v>52</v>
      </c>
      <c r="J29" s="17" t="s">
        <v>39</v>
      </c>
      <c r="K29" s="18" t="s">
        <v>118</v>
      </c>
      <c r="L29" s="19" t="s">
        <v>122</v>
      </c>
      <c r="M29" s="20">
        <v>603</v>
      </c>
      <c r="N29" s="19" t="s">
        <v>123</v>
      </c>
      <c r="O29" s="19">
        <v>52</v>
      </c>
      <c r="P29" s="19">
        <v>1.52E-2</v>
      </c>
      <c r="Q29" s="19">
        <v>0</v>
      </c>
      <c r="R29" s="19">
        <f t="shared" si="0"/>
        <v>0.79039999999999999</v>
      </c>
    </row>
    <row r="30" spans="1:18" x14ac:dyDescent="0.25">
      <c r="A30" s="14" t="s">
        <v>124</v>
      </c>
      <c r="B30" s="15" t="s">
        <v>125</v>
      </c>
      <c r="C30" s="15" t="s">
        <v>126</v>
      </c>
      <c r="D30" s="15"/>
      <c r="E30" s="16" t="s">
        <v>127</v>
      </c>
      <c r="F30" s="17">
        <v>13</v>
      </c>
      <c r="G30" s="17" t="s">
        <v>124</v>
      </c>
      <c r="H30" s="17" t="s">
        <v>128</v>
      </c>
      <c r="I30" s="17">
        <v>5</v>
      </c>
      <c r="J30" s="17" t="s">
        <v>39</v>
      </c>
      <c r="K30" s="18" t="s">
        <v>125</v>
      </c>
      <c r="L30" s="19" t="s">
        <v>129</v>
      </c>
      <c r="M30" s="20" t="s">
        <v>130</v>
      </c>
      <c r="N30" s="19" t="s">
        <v>131</v>
      </c>
      <c r="O30" s="19">
        <v>5</v>
      </c>
      <c r="P30" s="19">
        <v>0.29620999999999997</v>
      </c>
      <c r="Q30" s="19">
        <v>0</v>
      </c>
      <c r="R30" s="19">
        <f t="shared" si="0"/>
        <v>1.48105</v>
      </c>
    </row>
    <row r="31" spans="1:18" x14ac:dyDescent="0.25">
      <c r="A31" s="14" t="s">
        <v>132</v>
      </c>
      <c r="B31" s="15" t="s">
        <v>133</v>
      </c>
      <c r="C31" s="15" t="s">
        <v>134</v>
      </c>
      <c r="D31" s="15"/>
      <c r="E31" s="16" t="s">
        <v>135</v>
      </c>
      <c r="F31" s="17">
        <v>14</v>
      </c>
      <c r="G31" s="17" t="s">
        <v>132</v>
      </c>
      <c r="H31" s="17" t="s">
        <v>136</v>
      </c>
      <c r="I31" s="17">
        <v>1</v>
      </c>
      <c r="J31" s="17" t="s">
        <v>39</v>
      </c>
      <c r="K31" s="18" t="s">
        <v>133</v>
      </c>
      <c r="L31" s="19" t="s">
        <v>137</v>
      </c>
      <c r="M31" s="20" t="s">
        <v>138</v>
      </c>
      <c r="N31" s="19" t="s">
        <v>139</v>
      </c>
      <c r="O31" s="19">
        <v>1</v>
      </c>
      <c r="P31" s="19">
        <v>7.95</v>
      </c>
      <c r="Q31" s="19">
        <v>0</v>
      </c>
      <c r="R31" s="19">
        <f t="shared" si="0"/>
        <v>7.95</v>
      </c>
    </row>
    <row r="32" spans="1:18" x14ac:dyDescent="0.25">
      <c r="A32" s="14" t="s">
        <v>140</v>
      </c>
      <c r="B32" s="15" t="s">
        <v>141</v>
      </c>
      <c r="C32" s="15" t="s">
        <v>142</v>
      </c>
      <c r="D32" s="15"/>
      <c r="E32" s="16" t="s">
        <v>143</v>
      </c>
      <c r="F32" s="17">
        <v>15</v>
      </c>
      <c r="G32" s="17" t="s">
        <v>140</v>
      </c>
      <c r="H32" s="17" t="s">
        <v>144</v>
      </c>
      <c r="I32" s="17">
        <v>1</v>
      </c>
      <c r="J32" s="17" t="s">
        <v>39</v>
      </c>
      <c r="K32" s="18" t="s">
        <v>141</v>
      </c>
      <c r="L32" s="19" t="s">
        <v>145</v>
      </c>
      <c r="M32" s="20" t="s">
        <v>146</v>
      </c>
      <c r="N32" s="19" t="s">
        <v>147</v>
      </c>
      <c r="O32" s="19">
        <v>1</v>
      </c>
      <c r="P32" s="19">
        <v>5.31</v>
      </c>
      <c r="Q32" s="19">
        <v>0</v>
      </c>
      <c r="R32" s="19">
        <f t="shared" si="0"/>
        <v>5.31</v>
      </c>
    </row>
    <row r="33" spans="1:18" x14ac:dyDescent="0.25">
      <c r="A33" s="14" t="s">
        <v>148</v>
      </c>
      <c r="B33" s="15" t="s">
        <v>112</v>
      </c>
      <c r="C33" s="15" t="s">
        <v>54</v>
      </c>
      <c r="D33" s="15"/>
      <c r="E33" s="16" t="s">
        <v>149</v>
      </c>
      <c r="F33" s="17">
        <v>16</v>
      </c>
      <c r="G33" s="17" t="s">
        <v>150</v>
      </c>
      <c r="H33" s="17" t="s">
        <v>151</v>
      </c>
      <c r="I33" s="17">
        <v>1</v>
      </c>
      <c r="J33" s="17" t="s">
        <v>39</v>
      </c>
      <c r="K33" s="18" t="s">
        <v>112</v>
      </c>
      <c r="L33" s="19" t="s">
        <v>58</v>
      </c>
      <c r="M33" s="19">
        <v>603</v>
      </c>
      <c r="N33" s="19" t="s">
        <v>152</v>
      </c>
      <c r="O33" s="19">
        <v>1</v>
      </c>
      <c r="P33" s="19">
        <v>1.37E-2</v>
      </c>
      <c r="Q33" s="19">
        <v>0</v>
      </c>
      <c r="R33" s="19">
        <f t="shared" si="0"/>
        <v>1.37E-2</v>
      </c>
    </row>
    <row r="34" spans="1:18" x14ac:dyDescent="0.25">
      <c r="A34" s="14" t="s">
        <v>153</v>
      </c>
      <c r="B34" s="15" t="s">
        <v>154</v>
      </c>
      <c r="C34" s="15" t="s">
        <v>54</v>
      </c>
      <c r="D34" s="15"/>
      <c r="E34" s="16" t="s">
        <v>155</v>
      </c>
      <c r="F34" s="17">
        <v>17</v>
      </c>
      <c r="G34" s="17" t="s">
        <v>156</v>
      </c>
      <c r="H34" s="17" t="s">
        <v>157</v>
      </c>
      <c r="I34" s="17">
        <v>4</v>
      </c>
      <c r="J34" s="17" t="s">
        <v>39</v>
      </c>
      <c r="K34" s="18" t="s">
        <v>154</v>
      </c>
      <c r="L34" s="19" t="s">
        <v>58</v>
      </c>
      <c r="M34" s="19">
        <v>603</v>
      </c>
      <c r="N34" s="19" t="s">
        <v>158</v>
      </c>
      <c r="O34" s="19">
        <v>4</v>
      </c>
      <c r="P34" s="19">
        <v>1.7899999999999999E-2</v>
      </c>
      <c r="Q34" s="19">
        <v>0</v>
      </c>
      <c r="R34" s="19">
        <f t="shared" si="0"/>
        <v>7.1599999999999997E-2</v>
      </c>
    </row>
    <row r="35" spans="1:18" x14ac:dyDescent="0.25">
      <c r="A35" s="14" t="s">
        <v>159</v>
      </c>
      <c r="B35" s="15" t="s">
        <v>160</v>
      </c>
      <c r="C35" s="15" t="s">
        <v>54</v>
      </c>
      <c r="D35" s="15"/>
      <c r="E35" s="16" t="s">
        <v>161</v>
      </c>
      <c r="F35" s="17">
        <v>18</v>
      </c>
      <c r="G35" s="17" t="s">
        <v>162</v>
      </c>
      <c r="H35" s="17" t="s">
        <v>163</v>
      </c>
      <c r="I35" s="17">
        <v>2</v>
      </c>
      <c r="J35" s="17" t="s">
        <v>39</v>
      </c>
      <c r="K35" s="18" t="s">
        <v>160</v>
      </c>
      <c r="L35" s="19" t="s">
        <v>58</v>
      </c>
      <c r="M35" s="19">
        <v>603</v>
      </c>
      <c r="N35" s="19" t="s">
        <v>164</v>
      </c>
      <c r="O35" s="19">
        <v>2</v>
      </c>
      <c r="P35" s="19">
        <v>0.54469999999999996</v>
      </c>
      <c r="Q35" s="19">
        <v>0</v>
      </c>
      <c r="R35" s="19">
        <f t="shared" si="0"/>
        <v>1.0893999999999999</v>
      </c>
    </row>
    <row r="36" spans="1:18" x14ac:dyDescent="0.25">
      <c r="A36" s="14" t="s">
        <v>165</v>
      </c>
      <c r="B36" s="15" t="s">
        <v>166</v>
      </c>
      <c r="C36" s="15" t="s">
        <v>54</v>
      </c>
      <c r="D36" s="15"/>
      <c r="E36" s="16" t="s">
        <v>167</v>
      </c>
      <c r="F36" s="17">
        <v>19</v>
      </c>
      <c r="G36" s="17" t="s">
        <v>168</v>
      </c>
      <c r="H36" s="17" t="s">
        <v>169</v>
      </c>
      <c r="I36" s="17">
        <v>2</v>
      </c>
      <c r="J36" s="17" t="s">
        <v>39</v>
      </c>
      <c r="K36" s="18" t="s">
        <v>166</v>
      </c>
      <c r="L36" s="19" t="s">
        <v>58</v>
      </c>
      <c r="M36" s="19">
        <v>603</v>
      </c>
      <c r="N36" s="19" t="s">
        <v>170</v>
      </c>
      <c r="O36" s="19">
        <v>2</v>
      </c>
      <c r="P36" s="19">
        <v>0.2369</v>
      </c>
      <c r="Q36" s="19">
        <v>0</v>
      </c>
      <c r="R36" s="19">
        <f t="shared" si="0"/>
        <v>0.4738</v>
      </c>
    </row>
    <row r="37" spans="1:18" x14ac:dyDescent="0.25">
      <c r="A37" s="14" t="s">
        <v>171</v>
      </c>
      <c r="B37" s="15" t="s">
        <v>110</v>
      </c>
      <c r="C37" s="15" t="s">
        <v>62</v>
      </c>
      <c r="D37" s="15"/>
      <c r="E37" s="16" t="s">
        <v>172</v>
      </c>
      <c r="F37" s="17">
        <v>20</v>
      </c>
      <c r="G37" s="17" t="s">
        <v>173</v>
      </c>
      <c r="H37" s="17" t="s">
        <v>174</v>
      </c>
      <c r="I37" s="17">
        <v>1</v>
      </c>
      <c r="J37" s="17" t="s">
        <v>39</v>
      </c>
      <c r="K37" s="18" t="s">
        <v>110</v>
      </c>
      <c r="L37" s="19" t="s">
        <v>66</v>
      </c>
      <c r="M37" s="19">
        <v>603</v>
      </c>
      <c r="N37" s="19" t="s">
        <v>175</v>
      </c>
      <c r="O37" s="19">
        <v>1</v>
      </c>
      <c r="P37" s="19">
        <v>4.5400000000000003E-2</v>
      </c>
      <c r="Q37" s="19">
        <v>0</v>
      </c>
      <c r="R37" s="19">
        <f t="shared" si="0"/>
        <v>4.5400000000000003E-2</v>
      </c>
    </row>
    <row r="38" spans="1:18" x14ac:dyDescent="0.25">
      <c r="A38" s="14" t="s">
        <v>52</v>
      </c>
      <c r="B38" s="15" t="s">
        <v>53</v>
      </c>
      <c r="C38" s="15" t="s">
        <v>54</v>
      </c>
      <c r="D38" s="15"/>
      <c r="E38" s="16"/>
      <c r="F38" s="17">
        <v>21</v>
      </c>
      <c r="G38" s="17" t="s">
        <v>176</v>
      </c>
      <c r="H38" s="17" t="s">
        <v>177</v>
      </c>
      <c r="I38" s="17">
        <v>1</v>
      </c>
      <c r="J38" s="17" t="s">
        <v>39</v>
      </c>
      <c r="K38" s="18" t="s">
        <v>53</v>
      </c>
      <c r="L38" s="19" t="s">
        <v>58</v>
      </c>
      <c r="M38" s="19">
        <v>603</v>
      </c>
      <c r="N38" s="19" t="s">
        <v>59</v>
      </c>
      <c r="O38" s="19">
        <v>1</v>
      </c>
      <c r="P38" s="19">
        <v>1.2200000000000001E-2</v>
      </c>
      <c r="Q38" s="19">
        <v>0</v>
      </c>
      <c r="R38" s="19">
        <f t="shared" si="0"/>
        <v>1.2200000000000001E-2</v>
      </c>
    </row>
    <row r="39" spans="1:18" x14ac:dyDescent="0.25">
      <c r="A39" s="14" t="s">
        <v>178</v>
      </c>
      <c r="B39" s="15" t="s">
        <v>110</v>
      </c>
      <c r="C39" s="15" t="s">
        <v>62</v>
      </c>
      <c r="D39" s="15"/>
      <c r="E39" s="16" t="s">
        <v>179</v>
      </c>
      <c r="F39" s="17">
        <v>22</v>
      </c>
      <c r="G39" s="17" t="s">
        <v>180</v>
      </c>
      <c r="H39" s="17" t="s">
        <v>181</v>
      </c>
      <c r="I39" s="17">
        <v>1</v>
      </c>
      <c r="J39" s="17" t="s">
        <v>39</v>
      </c>
      <c r="K39" s="18" t="s">
        <v>110</v>
      </c>
      <c r="L39" s="19" t="s">
        <v>66</v>
      </c>
      <c r="M39" s="19">
        <v>603</v>
      </c>
      <c r="N39" s="19" t="s">
        <v>182</v>
      </c>
      <c r="O39" s="19">
        <v>1</v>
      </c>
      <c r="P39" s="19">
        <v>5.7519000000000001E-2</v>
      </c>
      <c r="Q39" s="19">
        <v>0</v>
      </c>
      <c r="R39" s="19">
        <f t="shared" si="0"/>
        <v>5.7519000000000001E-2</v>
      </c>
    </row>
    <row r="40" spans="1:18" x14ac:dyDescent="0.25">
      <c r="A40" s="14" t="s">
        <v>183</v>
      </c>
      <c r="B40" s="15" t="s">
        <v>184</v>
      </c>
      <c r="C40" s="15" t="s">
        <v>185</v>
      </c>
      <c r="D40" s="15"/>
      <c r="E40" s="16" t="s">
        <v>186</v>
      </c>
      <c r="F40" s="17">
        <v>23</v>
      </c>
      <c r="G40" s="17" t="s">
        <v>183</v>
      </c>
      <c r="H40" s="17" t="s">
        <v>187</v>
      </c>
      <c r="I40" s="17">
        <v>1</v>
      </c>
      <c r="J40" s="17" t="s">
        <v>39</v>
      </c>
      <c r="K40" s="18" t="s">
        <v>184</v>
      </c>
      <c r="L40" s="19" t="s">
        <v>188</v>
      </c>
      <c r="M40" s="19">
        <v>603</v>
      </c>
      <c r="N40" s="19" t="s">
        <v>189</v>
      </c>
      <c r="O40" s="19">
        <v>1</v>
      </c>
      <c r="P40" s="19">
        <v>0.11559999999999999</v>
      </c>
      <c r="Q40" s="19">
        <v>0</v>
      </c>
      <c r="R40" s="19">
        <f t="shared" si="0"/>
        <v>0.11559999999999999</v>
      </c>
    </row>
    <row r="41" spans="1:18" x14ac:dyDescent="0.25">
      <c r="A41" s="14" t="s">
        <v>190</v>
      </c>
      <c r="B41" s="15" t="s">
        <v>61</v>
      </c>
      <c r="C41" s="15" t="s">
        <v>62</v>
      </c>
      <c r="D41" s="15"/>
      <c r="E41" s="16" t="s">
        <v>191</v>
      </c>
      <c r="F41" s="17">
        <v>24</v>
      </c>
      <c r="G41" s="17" t="s">
        <v>192</v>
      </c>
      <c r="H41" s="17" t="s">
        <v>193</v>
      </c>
      <c r="I41" s="17">
        <v>1</v>
      </c>
      <c r="J41" s="17" t="s">
        <v>39</v>
      </c>
      <c r="K41" s="18" t="s">
        <v>61</v>
      </c>
      <c r="L41" s="19" t="s">
        <v>66</v>
      </c>
      <c r="M41" s="19">
        <v>603</v>
      </c>
      <c r="N41" s="19" t="s">
        <v>194</v>
      </c>
      <c r="O41" s="19">
        <v>1</v>
      </c>
      <c r="P41" s="19">
        <v>0.11840000000000001</v>
      </c>
      <c r="Q41" s="19">
        <v>0</v>
      </c>
      <c r="R41" s="19">
        <f t="shared" si="0"/>
        <v>0.11840000000000001</v>
      </c>
    </row>
    <row r="42" spans="1:18" x14ac:dyDescent="0.25">
      <c r="A42" s="14" t="s">
        <v>195</v>
      </c>
      <c r="B42" s="15" t="s">
        <v>112</v>
      </c>
      <c r="C42" s="15" t="s">
        <v>54</v>
      </c>
      <c r="D42" s="15"/>
      <c r="E42" s="16" t="s">
        <v>196</v>
      </c>
      <c r="F42" s="17">
        <v>25</v>
      </c>
      <c r="G42" s="17" t="s">
        <v>197</v>
      </c>
      <c r="H42" s="17" t="s">
        <v>198</v>
      </c>
      <c r="I42" s="17">
        <v>4</v>
      </c>
      <c r="J42" s="17" t="s">
        <v>39</v>
      </c>
      <c r="K42" s="18" t="s">
        <v>112</v>
      </c>
      <c r="L42" s="19" t="s">
        <v>58</v>
      </c>
      <c r="M42" s="19">
        <v>603</v>
      </c>
      <c r="N42" s="19" t="s">
        <v>199</v>
      </c>
      <c r="O42" s="19">
        <v>4</v>
      </c>
      <c r="P42" s="19">
        <v>0.135877</v>
      </c>
      <c r="Q42" s="19">
        <v>0</v>
      </c>
      <c r="R42" s="19">
        <f t="shared" si="0"/>
        <v>0.54350799999999999</v>
      </c>
    </row>
    <row r="43" spans="1:18" x14ac:dyDescent="0.25">
      <c r="A43" s="14" t="s">
        <v>200</v>
      </c>
      <c r="B43" s="15" t="s">
        <v>201</v>
      </c>
      <c r="C43" s="15" t="s">
        <v>202</v>
      </c>
      <c r="D43" s="15"/>
      <c r="E43" s="16" t="s">
        <v>203</v>
      </c>
      <c r="F43" s="17">
        <v>26</v>
      </c>
      <c r="G43" s="17" t="s">
        <v>200</v>
      </c>
      <c r="H43" s="17" t="s">
        <v>204</v>
      </c>
      <c r="I43" s="17">
        <v>8</v>
      </c>
      <c r="J43" s="17" t="s">
        <v>39</v>
      </c>
      <c r="K43" s="18" t="s">
        <v>201</v>
      </c>
      <c r="L43" s="19" t="s">
        <v>205</v>
      </c>
      <c r="M43" s="20" t="s">
        <v>206</v>
      </c>
      <c r="N43" s="19" t="s">
        <v>207</v>
      </c>
      <c r="O43" s="19">
        <v>8</v>
      </c>
      <c r="P43" s="19">
        <v>0.47889999999999999</v>
      </c>
      <c r="Q43" s="19">
        <v>0</v>
      </c>
      <c r="R43" s="19">
        <f t="shared" si="0"/>
        <v>3.8311999999999999</v>
      </c>
    </row>
    <row r="44" spans="1:18" x14ac:dyDescent="0.25">
      <c r="A44" s="14" t="s">
        <v>208</v>
      </c>
      <c r="B44" s="15" t="s">
        <v>154</v>
      </c>
      <c r="C44" s="15" t="s">
        <v>54</v>
      </c>
      <c r="D44" s="15"/>
      <c r="E44" s="16" t="s">
        <v>209</v>
      </c>
      <c r="F44" s="17">
        <v>28</v>
      </c>
      <c r="G44" s="17" t="s">
        <v>210</v>
      </c>
      <c r="H44" s="17" t="s">
        <v>211</v>
      </c>
      <c r="I44" s="17">
        <v>13</v>
      </c>
      <c r="J44" s="17" t="s">
        <v>39</v>
      </c>
      <c r="K44" s="18" t="s">
        <v>154</v>
      </c>
      <c r="L44" s="19" t="s">
        <v>58</v>
      </c>
      <c r="M44" s="19">
        <v>603</v>
      </c>
      <c r="N44" s="19" t="s">
        <v>212</v>
      </c>
      <c r="O44" s="19">
        <v>13</v>
      </c>
      <c r="P44" s="19">
        <v>1.7000000000000001E-2</v>
      </c>
      <c r="Q44" s="19">
        <v>0</v>
      </c>
      <c r="R44" s="19">
        <f t="shared" si="0"/>
        <v>0.221</v>
      </c>
    </row>
    <row r="45" spans="1:18" x14ac:dyDescent="0.25">
      <c r="A45" s="14" t="s">
        <v>213</v>
      </c>
      <c r="B45" s="15" t="s">
        <v>112</v>
      </c>
      <c r="C45" s="15" t="s">
        <v>54</v>
      </c>
      <c r="D45" s="15"/>
      <c r="E45" s="16" t="s">
        <v>214</v>
      </c>
      <c r="F45" s="17">
        <v>29</v>
      </c>
      <c r="G45" s="17" t="s">
        <v>215</v>
      </c>
      <c r="H45" s="17" t="s">
        <v>216</v>
      </c>
      <c r="I45" s="17">
        <v>1</v>
      </c>
      <c r="J45" s="17" t="s">
        <v>39</v>
      </c>
      <c r="K45" s="18" t="s">
        <v>112</v>
      </c>
      <c r="L45" s="19" t="s">
        <v>58</v>
      </c>
      <c r="M45" s="19">
        <v>603</v>
      </c>
      <c r="N45" s="19" t="s">
        <v>217</v>
      </c>
      <c r="O45" s="19">
        <v>1</v>
      </c>
      <c r="P45" s="19">
        <v>0.1951</v>
      </c>
      <c r="Q45" s="19">
        <v>0</v>
      </c>
      <c r="R45" s="19">
        <f t="shared" si="0"/>
        <v>0.1951</v>
      </c>
    </row>
    <row r="46" spans="1:18" x14ac:dyDescent="0.25">
      <c r="A46" s="14" t="s">
        <v>218</v>
      </c>
      <c r="B46" s="15" t="s">
        <v>110</v>
      </c>
      <c r="C46" s="15" t="s">
        <v>219</v>
      </c>
      <c r="D46" s="15"/>
      <c r="E46" s="16" t="s">
        <v>220</v>
      </c>
      <c r="F46" s="17">
        <v>30</v>
      </c>
      <c r="G46" s="17" t="s">
        <v>221</v>
      </c>
      <c r="H46" s="17" t="s">
        <v>222</v>
      </c>
      <c r="I46" s="17">
        <v>2</v>
      </c>
      <c r="J46" s="17" t="s">
        <v>39</v>
      </c>
      <c r="K46" s="18" t="s">
        <v>110</v>
      </c>
      <c r="L46" s="19" t="s">
        <v>66</v>
      </c>
      <c r="M46" s="19">
        <v>805</v>
      </c>
      <c r="N46" s="19" t="s">
        <v>223</v>
      </c>
      <c r="O46" s="19">
        <v>2</v>
      </c>
      <c r="P46" s="19">
        <v>1.5412999999999999</v>
      </c>
      <c r="Q46" s="19">
        <v>0</v>
      </c>
      <c r="R46" s="19">
        <f t="shared" si="0"/>
        <v>3.0825999999999998</v>
      </c>
    </row>
    <row r="47" spans="1:18" x14ac:dyDescent="0.25">
      <c r="A47" s="14" t="s">
        <v>52</v>
      </c>
      <c r="B47" s="15" t="s">
        <v>53</v>
      </c>
      <c r="C47" s="15" t="s">
        <v>54</v>
      </c>
      <c r="D47" s="15"/>
      <c r="E47" s="16"/>
      <c r="F47" s="17">
        <v>31</v>
      </c>
      <c r="G47" s="17" t="s">
        <v>224</v>
      </c>
      <c r="H47" s="17" t="s">
        <v>225</v>
      </c>
      <c r="I47" s="17">
        <v>3</v>
      </c>
      <c r="J47" s="17" t="s">
        <v>39</v>
      </c>
      <c r="K47" s="18" t="s">
        <v>53</v>
      </c>
      <c r="L47" s="19" t="s">
        <v>58</v>
      </c>
      <c r="M47" s="19">
        <v>603</v>
      </c>
      <c r="N47" s="19" t="s">
        <v>59</v>
      </c>
      <c r="O47" s="19">
        <v>3</v>
      </c>
      <c r="P47" s="19">
        <v>1.2200000000000001E-2</v>
      </c>
      <c r="Q47" s="19">
        <v>0</v>
      </c>
      <c r="R47" s="19">
        <f t="shared" si="0"/>
        <v>3.6600000000000001E-2</v>
      </c>
    </row>
    <row r="48" spans="1:18" x14ac:dyDescent="0.25">
      <c r="A48" s="14" t="s">
        <v>226</v>
      </c>
      <c r="B48" s="15" t="s">
        <v>44</v>
      </c>
      <c r="C48" s="15" t="s">
        <v>227</v>
      </c>
      <c r="D48" s="15"/>
      <c r="E48" s="16" t="s">
        <v>228</v>
      </c>
      <c r="F48" s="17">
        <v>32</v>
      </c>
      <c r="G48" s="17" t="s">
        <v>229</v>
      </c>
      <c r="H48" s="17" t="s">
        <v>230</v>
      </c>
      <c r="I48" s="17">
        <v>1</v>
      </c>
      <c r="J48" s="17" t="s">
        <v>39</v>
      </c>
      <c r="K48" s="18" t="s">
        <v>44</v>
      </c>
      <c r="L48" s="19" t="s">
        <v>231</v>
      </c>
      <c r="M48" s="20" t="s">
        <v>232</v>
      </c>
      <c r="N48" s="19" t="s">
        <v>233</v>
      </c>
      <c r="O48" s="19">
        <v>1</v>
      </c>
      <c r="P48" s="19">
        <v>2.99</v>
      </c>
      <c r="Q48" s="19">
        <v>0</v>
      </c>
      <c r="R48" s="19">
        <f t="shared" si="0"/>
        <v>2.99</v>
      </c>
    </row>
    <row r="49" spans="1:18" x14ac:dyDescent="0.25">
      <c r="A49" s="14" t="s">
        <v>171</v>
      </c>
      <c r="B49" s="15" t="s">
        <v>110</v>
      </c>
      <c r="C49" s="15" t="s">
        <v>62</v>
      </c>
      <c r="D49" s="15"/>
      <c r="E49" s="16"/>
      <c r="F49" s="17">
        <v>33</v>
      </c>
      <c r="G49" s="17" t="s">
        <v>221</v>
      </c>
      <c r="H49" s="17" t="s">
        <v>234</v>
      </c>
      <c r="I49" s="17">
        <v>1</v>
      </c>
      <c r="J49" s="17" t="s">
        <v>39</v>
      </c>
      <c r="K49" s="18" t="s">
        <v>110</v>
      </c>
      <c r="L49" s="19" t="s">
        <v>66</v>
      </c>
      <c r="M49" s="19">
        <v>603</v>
      </c>
      <c r="N49" s="19" t="s">
        <v>175</v>
      </c>
      <c r="O49" s="19">
        <v>1</v>
      </c>
      <c r="P49" s="19">
        <v>4.5400000000000003E-2</v>
      </c>
      <c r="Q49" s="19">
        <v>0</v>
      </c>
      <c r="R49" s="19">
        <f t="shared" si="0"/>
        <v>4.5400000000000003E-2</v>
      </c>
    </row>
    <row r="50" spans="1:18" x14ac:dyDescent="0.25">
      <c r="A50" s="14" t="s">
        <v>171</v>
      </c>
      <c r="B50" s="15" t="s">
        <v>110</v>
      </c>
      <c r="C50" s="15" t="s">
        <v>62</v>
      </c>
      <c r="D50" s="15"/>
      <c r="E50" s="16"/>
      <c r="F50" s="17">
        <v>34</v>
      </c>
      <c r="G50" s="17" t="s">
        <v>235</v>
      </c>
      <c r="H50" s="17" t="s">
        <v>236</v>
      </c>
      <c r="I50" s="17">
        <v>1</v>
      </c>
      <c r="J50" s="17" t="s">
        <v>39</v>
      </c>
      <c r="K50" s="18" t="s">
        <v>110</v>
      </c>
      <c r="L50" s="19" t="s">
        <v>66</v>
      </c>
      <c r="M50" s="19">
        <v>603</v>
      </c>
      <c r="N50" s="19" t="s">
        <v>175</v>
      </c>
      <c r="O50" s="19">
        <v>1</v>
      </c>
      <c r="P50" s="19">
        <v>4.5400000000000003E-2</v>
      </c>
      <c r="Q50" s="19">
        <v>0</v>
      </c>
      <c r="R50" s="19">
        <f t="shared" si="0"/>
        <v>4.5400000000000003E-2</v>
      </c>
    </row>
    <row r="51" spans="1:18" x14ac:dyDescent="0.25">
      <c r="A51" s="14" t="s">
        <v>171</v>
      </c>
      <c r="B51" s="15" t="s">
        <v>110</v>
      </c>
      <c r="C51" s="15" t="s">
        <v>62</v>
      </c>
      <c r="D51" s="15"/>
      <c r="E51" s="16"/>
      <c r="F51" s="17">
        <v>35</v>
      </c>
      <c r="G51" s="17" t="s">
        <v>237</v>
      </c>
      <c r="H51" s="17" t="s">
        <v>238</v>
      </c>
      <c r="I51" s="17">
        <v>1</v>
      </c>
      <c r="J51" s="17" t="s">
        <v>39</v>
      </c>
      <c r="K51" s="18" t="s">
        <v>110</v>
      </c>
      <c r="L51" s="19" t="s">
        <v>66</v>
      </c>
      <c r="M51" s="19">
        <v>603</v>
      </c>
      <c r="N51" s="19" t="s">
        <v>175</v>
      </c>
      <c r="O51" s="19">
        <v>1</v>
      </c>
      <c r="P51" s="19">
        <v>4.5400000000000003E-2</v>
      </c>
      <c r="Q51" s="19">
        <v>0</v>
      </c>
      <c r="R51" s="19">
        <f t="shared" si="0"/>
        <v>4.5400000000000003E-2</v>
      </c>
    </row>
    <row r="52" spans="1:18" x14ac:dyDescent="0.25">
      <c r="A52" s="14" t="s">
        <v>239</v>
      </c>
      <c r="B52" s="15" t="s">
        <v>240</v>
      </c>
      <c r="C52" s="15" t="s">
        <v>241</v>
      </c>
      <c r="D52" s="15"/>
      <c r="E52" s="16" t="s">
        <v>242</v>
      </c>
      <c r="F52" s="17">
        <v>36</v>
      </c>
      <c r="G52" s="17" t="s">
        <v>239</v>
      </c>
      <c r="H52" s="17" t="s">
        <v>243</v>
      </c>
      <c r="I52" s="17">
        <v>3</v>
      </c>
      <c r="J52" s="17" t="s">
        <v>39</v>
      </c>
      <c r="K52" s="18" t="s">
        <v>240</v>
      </c>
      <c r="L52" s="19" t="s">
        <v>244</v>
      </c>
      <c r="M52" s="20" t="s">
        <v>245</v>
      </c>
      <c r="N52" s="19" t="s">
        <v>246</v>
      </c>
      <c r="O52" s="19">
        <v>3</v>
      </c>
      <c r="P52" s="19">
        <v>4.4800000000000004</v>
      </c>
      <c r="Q52" s="19">
        <v>0</v>
      </c>
      <c r="R52" s="19">
        <f t="shared" si="0"/>
        <v>13.44</v>
      </c>
    </row>
    <row r="53" spans="1:18" x14ac:dyDescent="0.25">
      <c r="A53" s="14" t="s">
        <v>247</v>
      </c>
      <c r="B53" s="15" t="s">
        <v>248</v>
      </c>
      <c r="C53" s="15" t="s">
        <v>249</v>
      </c>
      <c r="D53" s="15"/>
      <c r="E53" s="16" t="s">
        <v>250</v>
      </c>
      <c r="F53" s="17">
        <v>37</v>
      </c>
      <c r="G53" s="17" t="s">
        <v>247</v>
      </c>
      <c r="H53" s="17" t="s">
        <v>251</v>
      </c>
      <c r="I53" s="17">
        <v>5</v>
      </c>
      <c r="J53" s="17" t="s">
        <v>39</v>
      </c>
      <c r="K53" s="18" t="s">
        <v>248</v>
      </c>
      <c r="L53" s="19" t="s">
        <v>252</v>
      </c>
      <c r="M53" s="20" t="s">
        <v>253</v>
      </c>
      <c r="N53" s="19" t="s">
        <v>254</v>
      </c>
      <c r="O53" s="19">
        <v>5</v>
      </c>
      <c r="P53" s="19">
        <v>3.92</v>
      </c>
      <c r="Q53" s="19">
        <v>0</v>
      </c>
      <c r="R53" s="19">
        <f t="shared" si="0"/>
        <v>19.600000000000001</v>
      </c>
    </row>
    <row r="54" spans="1:18" x14ac:dyDescent="0.25">
      <c r="A54" s="14" t="s">
        <v>255</v>
      </c>
      <c r="B54" s="15" t="s">
        <v>256</v>
      </c>
      <c r="C54" s="15" t="s">
        <v>219</v>
      </c>
      <c r="D54" s="15"/>
      <c r="E54" s="16"/>
      <c r="F54" s="17">
        <v>38</v>
      </c>
      <c r="G54" s="17" t="s">
        <v>257</v>
      </c>
      <c r="H54" s="17" t="s">
        <v>258</v>
      </c>
      <c r="I54" s="17">
        <v>5</v>
      </c>
      <c r="J54" s="17" t="s">
        <v>39</v>
      </c>
      <c r="K54" s="18" t="s">
        <v>256</v>
      </c>
      <c r="L54" s="19" t="s">
        <v>66</v>
      </c>
      <c r="M54" s="19">
        <v>805</v>
      </c>
      <c r="N54" s="19" t="s">
        <v>223</v>
      </c>
      <c r="O54" s="19">
        <v>5</v>
      </c>
      <c r="P54" s="19">
        <v>2.1732</v>
      </c>
      <c r="Q54" s="19">
        <v>0</v>
      </c>
      <c r="R54" s="19">
        <f t="shared" si="0"/>
        <v>10.866</v>
      </c>
    </row>
    <row r="55" spans="1:18" x14ac:dyDescent="0.25">
      <c r="A55" s="14" t="s">
        <v>255</v>
      </c>
      <c r="B55" s="15" t="s">
        <v>256</v>
      </c>
      <c r="C55" s="15" t="s">
        <v>219</v>
      </c>
      <c r="D55" s="15"/>
      <c r="E55" s="16"/>
      <c r="F55" s="17">
        <v>39</v>
      </c>
      <c r="G55" s="17" t="s">
        <v>259</v>
      </c>
      <c r="H55" s="17" t="s">
        <v>260</v>
      </c>
      <c r="I55" s="17">
        <v>5</v>
      </c>
      <c r="J55" s="17" t="s">
        <v>39</v>
      </c>
      <c r="K55" s="18" t="s">
        <v>256</v>
      </c>
      <c r="L55" s="19" t="s">
        <v>66</v>
      </c>
      <c r="M55" s="19">
        <v>805</v>
      </c>
      <c r="N55" s="19" t="s">
        <v>223</v>
      </c>
      <c r="O55" s="19">
        <v>5</v>
      </c>
      <c r="P55" s="19">
        <v>2.1732</v>
      </c>
      <c r="Q55" s="19">
        <v>0</v>
      </c>
      <c r="R55" s="19">
        <f t="shared" si="0"/>
        <v>10.866</v>
      </c>
    </row>
    <row r="56" spans="1:18" x14ac:dyDescent="0.25">
      <c r="A56" s="14" t="s">
        <v>208</v>
      </c>
      <c r="B56" s="15" t="s">
        <v>154</v>
      </c>
      <c r="C56" s="15" t="s">
        <v>54</v>
      </c>
      <c r="D56" s="15"/>
      <c r="E56" s="16"/>
      <c r="F56" s="17">
        <v>40</v>
      </c>
      <c r="G56" s="17" t="s">
        <v>261</v>
      </c>
      <c r="H56" s="17" t="s">
        <v>262</v>
      </c>
      <c r="I56" s="17">
        <v>1</v>
      </c>
      <c r="J56" s="17" t="s">
        <v>39</v>
      </c>
      <c r="K56" s="18" t="s">
        <v>154</v>
      </c>
      <c r="L56" s="19" t="s">
        <v>58</v>
      </c>
      <c r="M56" s="19">
        <v>603</v>
      </c>
      <c r="N56" s="19" t="s">
        <v>212</v>
      </c>
      <c r="O56" s="19">
        <v>1</v>
      </c>
      <c r="P56" s="19">
        <v>1.7000000000000001E-2</v>
      </c>
      <c r="Q56" s="19">
        <v>0</v>
      </c>
      <c r="R56" s="19">
        <f t="shared" si="0"/>
        <v>1.7000000000000001E-2</v>
      </c>
    </row>
    <row r="57" spans="1:18" x14ac:dyDescent="0.25">
      <c r="A57" s="14" t="s">
        <v>208</v>
      </c>
      <c r="B57" s="15" t="s">
        <v>154</v>
      </c>
      <c r="C57" s="15" t="s">
        <v>54</v>
      </c>
      <c r="D57" s="15"/>
      <c r="E57" s="16"/>
      <c r="F57" s="17">
        <v>41</v>
      </c>
      <c r="G57" s="17" t="s">
        <v>263</v>
      </c>
      <c r="H57" s="17" t="s">
        <v>264</v>
      </c>
      <c r="I57" s="17">
        <v>2</v>
      </c>
      <c r="J57" s="17" t="s">
        <v>39</v>
      </c>
      <c r="K57" s="18" t="s">
        <v>154</v>
      </c>
      <c r="L57" s="19" t="s">
        <v>58</v>
      </c>
      <c r="M57" s="19">
        <v>603</v>
      </c>
      <c r="N57" s="19" t="s">
        <v>212</v>
      </c>
      <c r="O57" s="19">
        <v>2</v>
      </c>
      <c r="P57" s="19">
        <v>1.7000000000000001E-2</v>
      </c>
      <c r="Q57" s="19">
        <v>0</v>
      </c>
      <c r="R57" s="19">
        <f t="shared" si="0"/>
        <v>3.4000000000000002E-2</v>
      </c>
    </row>
    <row r="58" spans="1:18" x14ac:dyDescent="0.25">
      <c r="A58" s="14" t="s">
        <v>265</v>
      </c>
      <c r="B58" s="15" t="s">
        <v>266</v>
      </c>
      <c r="C58" s="15" t="s">
        <v>267</v>
      </c>
      <c r="D58" s="15"/>
      <c r="E58" s="16" t="s">
        <v>268</v>
      </c>
      <c r="F58" s="17">
        <v>42</v>
      </c>
      <c r="G58" s="17" t="s">
        <v>265</v>
      </c>
      <c r="H58" s="17" t="s">
        <v>269</v>
      </c>
      <c r="I58" s="17">
        <v>6</v>
      </c>
      <c r="J58" s="17" t="s">
        <v>39</v>
      </c>
      <c r="K58" s="18" t="s">
        <v>266</v>
      </c>
      <c r="L58" s="19" t="s">
        <v>205</v>
      </c>
      <c r="M58" s="20" t="s">
        <v>270</v>
      </c>
      <c r="N58" s="19" t="s">
        <v>271</v>
      </c>
      <c r="O58" s="19">
        <v>6</v>
      </c>
      <c r="P58" s="19">
        <v>0.94159999999999999</v>
      </c>
      <c r="Q58" s="19">
        <v>0</v>
      </c>
      <c r="R58" s="19">
        <f t="shared" si="0"/>
        <v>5.6496000000000004</v>
      </c>
    </row>
    <row r="59" spans="1:18" x14ac:dyDescent="0.25">
      <c r="A59" s="14" t="s">
        <v>272</v>
      </c>
      <c r="B59" s="15" t="s">
        <v>273</v>
      </c>
      <c r="C59" s="15" t="s">
        <v>274</v>
      </c>
      <c r="D59" s="15"/>
      <c r="E59" s="16" t="s">
        <v>275</v>
      </c>
      <c r="F59" s="17">
        <v>45</v>
      </c>
      <c r="G59" s="17" t="s">
        <v>272</v>
      </c>
      <c r="H59" s="17" t="s">
        <v>276</v>
      </c>
      <c r="I59" s="17">
        <v>7</v>
      </c>
      <c r="J59" s="17" t="s">
        <v>39</v>
      </c>
      <c r="K59" s="18" t="s">
        <v>273</v>
      </c>
      <c r="L59" s="19" t="s">
        <v>277</v>
      </c>
      <c r="M59" s="20" t="s">
        <v>270</v>
      </c>
      <c r="N59" s="19" t="s">
        <v>278</v>
      </c>
      <c r="O59" s="19">
        <v>7</v>
      </c>
      <c r="P59" s="19">
        <v>0.14580000000000001</v>
      </c>
      <c r="Q59" s="19">
        <v>0</v>
      </c>
      <c r="R59" s="19">
        <f t="shared" si="0"/>
        <v>1.0206</v>
      </c>
    </row>
    <row r="60" spans="1:18" x14ac:dyDescent="0.25">
      <c r="A60" s="14" t="s">
        <v>52</v>
      </c>
      <c r="B60" s="15" t="s">
        <v>53</v>
      </c>
      <c r="C60" s="15" t="s">
        <v>54</v>
      </c>
      <c r="D60" s="15"/>
      <c r="E60" s="16"/>
      <c r="F60" s="17">
        <v>46</v>
      </c>
      <c r="G60" s="17" t="s">
        <v>279</v>
      </c>
      <c r="H60" s="17" t="s">
        <v>280</v>
      </c>
      <c r="I60" s="17">
        <v>16</v>
      </c>
      <c r="J60" s="17" t="s">
        <v>39</v>
      </c>
      <c r="K60" s="18" t="s">
        <v>53</v>
      </c>
      <c r="L60" s="19" t="s">
        <v>58</v>
      </c>
      <c r="M60" s="19">
        <v>603</v>
      </c>
      <c r="N60" s="19" t="s">
        <v>59</v>
      </c>
      <c r="O60" s="19">
        <v>16</v>
      </c>
      <c r="P60" s="19">
        <v>1.2200000000000001E-2</v>
      </c>
      <c r="Q60" s="19">
        <v>0</v>
      </c>
      <c r="R60" s="19">
        <f t="shared" si="0"/>
        <v>0.19520000000000001</v>
      </c>
    </row>
    <row r="61" spans="1:18" x14ac:dyDescent="0.25">
      <c r="A61" s="14" t="s">
        <v>52</v>
      </c>
      <c r="B61" s="15" t="s">
        <v>53</v>
      </c>
      <c r="C61" s="15" t="s">
        <v>54</v>
      </c>
      <c r="D61" s="15"/>
      <c r="E61" s="16"/>
      <c r="F61" s="17">
        <v>47</v>
      </c>
      <c r="G61" s="17">
        <v>390</v>
      </c>
      <c r="H61" s="17" t="s">
        <v>281</v>
      </c>
      <c r="I61" s="17">
        <v>16</v>
      </c>
      <c r="J61" s="17" t="s">
        <v>39</v>
      </c>
      <c r="K61" s="18" t="s">
        <v>53</v>
      </c>
      <c r="L61" s="19" t="s">
        <v>58</v>
      </c>
      <c r="M61" s="19">
        <v>603</v>
      </c>
      <c r="N61" s="19" t="s">
        <v>59</v>
      </c>
      <c r="O61" s="19">
        <v>16</v>
      </c>
      <c r="P61" s="19">
        <v>1.2200000000000001E-2</v>
      </c>
      <c r="Q61" s="19">
        <v>0</v>
      </c>
      <c r="R61" s="19">
        <f t="shared" si="0"/>
        <v>0.19520000000000001</v>
      </c>
    </row>
    <row r="62" spans="1:18" x14ac:dyDescent="0.25">
      <c r="A62" s="14" t="s">
        <v>52</v>
      </c>
      <c r="B62" s="15" t="s">
        <v>53</v>
      </c>
      <c r="C62" s="15" t="s">
        <v>54</v>
      </c>
      <c r="D62" s="15"/>
      <c r="E62" s="16"/>
      <c r="F62" s="17">
        <v>48</v>
      </c>
      <c r="G62" s="17">
        <v>470</v>
      </c>
      <c r="H62" s="17" t="s">
        <v>282</v>
      </c>
      <c r="I62" s="17">
        <v>24</v>
      </c>
      <c r="J62" s="17" t="s">
        <v>39</v>
      </c>
      <c r="K62" s="18" t="s">
        <v>53</v>
      </c>
      <c r="L62" s="19" t="s">
        <v>58</v>
      </c>
      <c r="M62" s="19">
        <v>603</v>
      </c>
      <c r="N62" s="19" t="s">
        <v>59</v>
      </c>
      <c r="O62" s="19">
        <v>24</v>
      </c>
      <c r="P62" s="19">
        <v>1.2200000000000001E-2</v>
      </c>
      <c r="Q62" s="19">
        <v>0</v>
      </c>
      <c r="R62" s="19">
        <f t="shared" si="0"/>
        <v>0.2928</v>
      </c>
    </row>
    <row r="63" spans="1:18" x14ac:dyDescent="0.25">
      <c r="A63" s="14" t="s">
        <v>283</v>
      </c>
      <c r="B63" s="15" t="s">
        <v>284</v>
      </c>
      <c r="C63" s="15" t="s">
        <v>285</v>
      </c>
      <c r="D63" s="15"/>
      <c r="E63" s="16" t="s">
        <v>286</v>
      </c>
      <c r="F63" s="17">
        <v>49</v>
      </c>
      <c r="G63" s="17" t="s">
        <v>283</v>
      </c>
      <c r="H63" s="17" t="s">
        <v>287</v>
      </c>
      <c r="I63" s="17">
        <v>2</v>
      </c>
      <c r="J63" s="17" t="s">
        <v>39</v>
      </c>
      <c r="K63" s="18" t="s">
        <v>284</v>
      </c>
      <c r="L63" s="19" t="s">
        <v>288</v>
      </c>
      <c r="M63" s="20" t="s">
        <v>289</v>
      </c>
      <c r="N63" s="19" t="s">
        <v>290</v>
      </c>
      <c r="O63" s="19">
        <v>2</v>
      </c>
      <c r="P63" s="19">
        <v>9.4499999999999993</v>
      </c>
      <c r="Q63" s="19">
        <v>0</v>
      </c>
      <c r="R63" s="19">
        <f t="shared" si="0"/>
        <v>18.899999999999999</v>
      </c>
    </row>
    <row r="64" spans="1:18" x14ac:dyDescent="0.25">
      <c r="A64" s="14" t="s">
        <v>291</v>
      </c>
      <c r="B64" s="15" t="s">
        <v>154</v>
      </c>
      <c r="C64" s="15" t="s">
        <v>62</v>
      </c>
      <c r="D64" s="15"/>
      <c r="E64" s="16" t="s">
        <v>292</v>
      </c>
      <c r="F64" s="17">
        <v>50</v>
      </c>
      <c r="G64" s="17" t="s">
        <v>293</v>
      </c>
      <c r="H64" s="17" t="s">
        <v>294</v>
      </c>
      <c r="I64" s="17">
        <v>16</v>
      </c>
      <c r="J64" s="17" t="s">
        <v>39</v>
      </c>
      <c r="K64" s="18" t="s">
        <v>154</v>
      </c>
      <c r="L64" s="19" t="s">
        <v>66</v>
      </c>
      <c r="M64" s="19">
        <v>603</v>
      </c>
      <c r="N64" s="19" t="s">
        <v>295</v>
      </c>
      <c r="O64" s="19">
        <v>16</v>
      </c>
      <c r="P64" s="19">
        <v>4.9685E-2</v>
      </c>
      <c r="Q64" s="19">
        <v>0</v>
      </c>
      <c r="R64" s="19">
        <f t="shared" si="0"/>
        <v>0.79496</v>
      </c>
    </row>
    <row r="65" spans="1:18" x14ac:dyDescent="0.25">
      <c r="A65" s="14" t="s">
        <v>255</v>
      </c>
      <c r="B65" s="15" t="s">
        <v>256</v>
      </c>
      <c r="C65" s="15" t="s">
        <v>219</v>
      </c>
      <c r="D65" s="15"/>
      <c r="E65" s="16" t="s">
        <v>296</v>
      </c>
      <c r="F65" s="17">
        <v>51</v>
      </c>
      <c r="G65" s="17" t="s">
        <v>221</v>
      </c>
      <c r="H65" s="17" t="s">
        <v>297</v>
      </c>
      <c r="I65" s="17">
        <v>12</v>
      </c>
      <c r="J65" s="17" t="s">
        <v>39</v>
      </c>
      <c r="K65" s="18" t="s">
        <v>256</v>
      </c>
      <c r="L65" s="19" t="s">
        <v>66</v>
      </c>
      <c r="M65" s="19">
        <v>805</v>
      </c>
      <c r="N65" s="19" t="s">
        <v>223</v>
      </c>
      <c r="O65" s="19">
        <v>12</v>
      </c>
      <c r="P65" s="19">
        <v>2.1732</v>
      </c>
      <c r="Q65" s="19">
        <v>0</v>
      </c>
      <c r="R65" s="19">
        <f t="shared" si="0"/>
        <v>26.078399999999998</v>
      </c>
    </row>
    <row r="66" spans="1:18" x14ac:dyDescent="0.25">
      <c r="A66" s="14" t="s">
        <v>298</v>
      </c>
      <c r="B66" s="15" t="s">
        <v>299</v>
      </c>
      <c r="C66" s="15" t="s">
        <v>202</v>
      </c>
      <c r="D66" s="15"/>
      <c r="E66" s="16" t="s">
        <v>300</v>
      </c>
      <c r="F66" s="17">
        <v>53</v>
      </c>
      <c r="G66" s="17" t="s">
        <v>298</v>
      </c>
      <c r="H66" s="17" t="s">
        <v>301</v>
      </c>
      <c r="I66" s="17">
        <v>12</v>
      </c>
      <c r="J66" s="17" t="s">
        <v>39</v>
      </c>
      <c r="K66" s="18" t="s">
        <v>299</v>
      </c>
      <c r="L66" s="19" t="s">
        <v>205</v>
      </c>
      <c r="M66" s="20" t="s">
        <v>206</v>
      </c>
      <c r="N66" s="19" t="s">
        <v>302</v>
      </c>
      <c r="O66" s="19">
        <v>12</v>
      </c>
      <c r="P66" s="19">
        <v>0.25779999999999997</v>
      </c>
      <c r="Q66" s="19">
        <v>0</v>
      </c>
      <c r="R66" s="19">
        <f t="shared" si="0"/>
        <v>3.0935999999999999</v>
      </c>
    </row>
    <row r="67" spans="1:18" x14ac:dyDescent="0.25">
      <c r="A67" s="14" t="s">
        <v>303</v>
      </c>
      <c r="B67" s="15" t="s">
        <v>154</v>
      </c>
      <c r="C67" s="15" t="s">
        <v>54</v>
      </c>
      <c r="D67" s="15"/>
      <c r="E67" s="16" t="s">
        <v>304</v>
      </c>
      <c r="F67" s="17">
        <v>54</v>
      </c>
      <c r="G67" s="17" t="s">
        <v>305</v>
      </c>
      <c r="H67" s="17" t="s">
        <v>306</v>
      </c>
      <c r="I67" s="17">
        <v>12</v>
      </c>
      <c r="J67" s="17" t="s">
        <v>39</v>
      </c>
      <c r="K67" s="18" t="s">
        <v>154</v>
      </c>
      <c r="L67" s="19" t="s">
        <v>58</v>
      </c>
      <c r="M67" s="19">
        <v>603</v>
      </c>
      <c r="N67" s="19" t="s">
        <v>307</v>
      </c>
      <c r="O67" s="19">
        <v>12</v>
      </c>
      <c r="P67" s="19">
        <v>1.49E-2</v>
      </c>
      <c r="Q67" s="19">
        <v>0</v>
      </c>
      <c r="R67" s="19">
        <f t="shared" si="0"/>
        <v>0.17879999999999999</v>
      </c>
    </row>
    <row r="68" spans="1:18" x14ac:dyDescent="0.25">
      <c r="A68" s="14" t="s">
        <v>308</v>
      </c>
      <c r="B68" s="15" t="s">
        <v>309</v>
      </c>
      <c r="C68" s="15" t="s">
        <v>310</v>
      </c>
      <c r="D68" s="15"/>
      <c r="E68" s="16" t="s">
        <v>311</v>
      </c>
      <c r="F68" s="17">
        <v>55</v>
      </c>
      <c r="G68" s="17" t="s">
        <v>308</v>
      </c>
      <c r="H68" s="17" t="s">
        <v>312</v>
      </c>
      <c r="I68" s="17">
        <v>2</v>
      </c>
      <c r="J68" s="17" t="s">
        <v>39</v>
      </c>
      <c r="K68" s="18" t="s">
        <v>309</v>
      </c>
      <c r="L68" s="19" t="s">
        <v>244</v>
      </c>
      <c r="M68" s="20" t="s">
        <v>313</v>
      </c>
      <c r="N68" s="19" t="s">
        <v>314</v>
      </c>
      <c r="O68" s="19">
        <v>2</v>
      </c>
      <c r="P68" s="19">
        <v>1.3287</v>
      </c>
      <c r="Q68" s="19">
        <v>0</v>
      </c>
      <c r="R68" s="19">
        <f t="shared" si="0"/>
        <v>2.6574</v>
      </c>
    </row>
    <row r="69" spans="1:18" x14ac:dyDescent="0.25">
      <c r="A69" s="14" t="s">
        <v>315</v>
      </c>
      <c r="B69" s="15" t="s">
        <v>316</v>
      </c>
      <c r="C69" s="15" t="s">
        <v>317</v>
      </c>
      <c r="D69" s="15"/>
      <c r="E69" s="16" t="s">
        <v>318</v>
      </c>
      <c r="F69" s="17">
        <v>56</v>
      </c>
      <c r="G69" s="17" t="s">
        <v>315</v>
      </c>
      <c r="H69" s="17" t="s">
        <v>319</v>
      </c>
      <c r="I69" s="17">
        <v>3</v>
      </c>
      <c r="J69" s="17" t="s">
        <v>39</v>
      </c>
      <c r="K69" s="18" t="s">
        <v>316</v>
      </c>
      <c r="L69" s="19" t="s">
        <v>320</v>
      </c>
      <c r="M69" s="20" t="s">
        <v>321</v>
      </c>
      <c r="N69" s="19" t="s">
        <v>322</v>
      </c>
      <c r="O69" s="19">
        <v>3</v>
      </c>
      <c r="P69" s="19">
        <v>9.8419999999999994E-2</v>
      </c>
      <c r="Q69" s="19">
        <v>0</v>
      </c>
      <c r="R69" s="19">
        <f t="shared" si="0"/>
        <v>0.29526000000000002</v>
      </c>
    </row>
    <row r="70" spans="1:18" x14ac:dyDescent="0.25">
      <c r="A70" s="14" t="s">
        <v>323</v>
      </c>
      <c r="B70" s="15" t="s">
        <v>316</v>
      </c>
      <c r="C70" s="15" t="s">
        <v>324</v>
      </c>
      <c r="D70" s="15"/>
      <c r="E70" s="16" t="s">
        <v>325</v>
      </c>
      <c r="F70" s="17">
        <v>57</v>
      </c>
      <c r="G70" s="17" t="s">
        <v>323</v>
      </c>
      <c r="H70" s="17" t="s">
        <v>326</v>
      </c>
      <c r="I70" s="17">
        <v>3</v>
      </c>
      <c r="J70" s="17" t="s">
        <v>39</v>
      </c>
      <c r="K70" s="18" t="s">
        <v>316</v>
      </c>
      <c r="L70" s="19" t="s">
        <v>320</v>
      </c>
      <c r="M70" s="20" t="s">
        <v>321</v>
      </c>
      <c r="N70" s="19" t="s">
        <v>327</v>
      </c>
      <c r="O70" s="19">
        <v>3</v>
      </c>
      <c r="P70" s="19">
        <v>0.15703500000000001</v>
      </c>
      <c r="Q70" s="19">
        <v>0</v>
      </c>
      <c r="R70" s="19">
        <f t="shared" si="0"/>
        <v>0.471105</v>
      </c>
    </row>
    <row r="71" spans="1:18" x14ac:dyDescent="0.25">
      <c r="A71" s="14" t="s">
        <v>328</v>
      </c>
      <c r="B71" s="15" t="s">
        <v>329</v>
      </c>
      <c r="C71" s="15" t="s">
        <v>330</v>
      </c>
      <c r="D71" s="15"/>
      <c r="E71" s="16" t="s">
        <v>331</v>
      </c>
      <c r="F71" s="17">
        <v>58</v>
      </c>
      <c r="G71" s="17" t="s">
        <v>328</v>
      </c>
      <c r="H71" s="17" t="s">
        <v>332</v>
      </c>
      <c r="I71" s="17">
        <v>2</v>
      </c>
      <c r="J71" s="17" t="s">
        <v>39</v>
      </c>
      <c r="K71" s="18" t="s">
        <v>329</v>
      </c>
      <c r="L71" s="19" t="s">
        <v>333</v>
      </c>
      <c r="M71" s="20" t="s">
        <v>334</v>
      </c>
      <c r="N71" s="19" t="s">
        <v>335</v>
      </c>
      <c r="O71" s="19">
        <v>2</v>
      </c>
      <c r="P71" s="19">
        <v>8.7100000000000009</v>
      </c>
      <c r="Q71" s="19">
        <v>0</v>
      </c>
      <c r="R71" s="19">
        <f t="shared" si="0"/>
        <v>17.420000000000002</v>
      </c>
    </row>
    <row r="72" spans="1:18" x14ac:dyDescent="0.25">
      <c r="A72" s="14" t="s">
        <v>336</v>
      </c>
      <c r="B72" s="15" t="s">
        <v>337</v>
      </c>
      <c r="C72" s="15" t="s">
        <v>338</v>
      </c>
      <c r="D72" s="15"/>
      <c r="E72" s="16" t="s">
        <v>339</v>
      </c>
      <c r="F72" s="17">
        <v>59</v>
      </c>
      <c r="G72" s="17" t="s">
        <v>340</v>
      </c>
      <c r="H72" s="17" t="s">
        <v>341</v>
      </c>
      <c r="I72" s="17">
        <v>2</v>
      </c>
      <c r="J72" s="17" t="s">
        <v>39</v>
      </c>
      <c r="K72" s="18" t="s">
        <v>337</v>
      </c>
      <c r="L72" s="19" t="s">
        <v>342</v>
      </c>
      <c r="M72" s="20" t="s">
        <v>343</v>
      </c>
      <c r="N72" s="19" t="s">
        <v>344</v>
      </c>
      <c r="O72" s="19">
        <v>2</v>
      </c>
      <c r="P72" s="19">
        <v>1.2523850000000001</v>
      </c>
      <c r="Q72" s="19">
        <v>0</v>
      </c>
      <c r="R72" s="19">
        <f t="shared" si="0"/>
        <v>2.5047700000000002</v>
      </c>
    </row>
    <row r="73" spans="1:18" x14ac:dyDescent="0.25">
      <c r="A73" s="14" t="s">
        <v>345</v>
      </c>
      <c r="B73" s="15" t="s">
        <v>346</v>
      </c>
      <c r="C73" s="15" t="s">
        <v>347</v>
      </c>
      <c r="D73" s="15"/>
      <c r="E73" s="16" t="s">
        <v>348</v>
      </c>
      <c r="F73" s="17">
        <v>60</v>
      </c>
      <c r="G73" s="17" t="s">
        <v>345</v>
      </c>
      <c r="H73" s="17" t="s">
        <v>349</v>
      </c>
      <c r="I73" s="17">
        <v>2</v>
      </c>
      <c r="J73" s="17" t="s">
        <v>39</v>
      </c>
      <c r="K73" s="18" t="s">
        <v>346</v>
      </c>
      <c r="L73" s="19" t="s">
        <v>350</v>
      </c>
      <c r="M73" s="20" t="s">
        <v>351</v>
      </c>
      <c r="N73" s="19" t="s">
        <v>352</v>
      </c>
      <c r="O73" s="19">
        <v>2</v>
      </c>
      <c r="P73" s="19">
        <v>5.78</v>
      </c>
      <c r="Q73" s="19">
        <v>0</v>
      </c>
      <c r="R73" s="19">
        <f t="shared" si="0"/>
        <v>11.56</v>
      </c>
    </row>
    <row r="74" spans="1:18" x14ac:dyDescent="0.25">
      <c r="A74" s="14" t="s">
        <v>353</v>
      </c>
      <c r="B74" s="15" t="s">
        <v>248</v>
      </c>
      <c r="C74" s="15" t="s">
        <v>354</v>
      </c>
      <c r="D74" s="15"/>
      <c r="E74" s="16" t="s">
        <v>355</v>
      </c>
      <c r="F74" s="17">
        <v>61</v>
      </c>
      <c r="G74" s="17" t="s">
        <v>353</v>
      </c>
      <c r="H74" s="17" t="s">
        <v>356</v>
      </c>
      <c r="I74" s="17">
        <v>2</v>
      </c>
      <c r="J74" s="17" t="s">
        <v>39</v>
      </c>
      <c r="K74" s="18" t="s">
        <v>248</v>
      </c>
      <c r="L74" s="19" t="s">
        <v>252</v>
      </c>
      <c r="M74" s="20" t="s">
        <v>357</v>
      </c>
      <c r="N74" s="19" t="s">
        <v>358</v>
      </c>
      <c r="O74" s="19">
        <v>2</v>
      </c>
      <c r="P74" s="19">
        <v>4.1669999999999998</v>
      </c>
      <c r="Q74" s="19">
        <v>0</v>
      </c>
      <c r="R74" s="19">
        <f t="shared" si="0"/>
        <v>8.3339999999999996</v>
      </c>
    </row>
    <row r="75" spans="1:18" x14ac:dyDescent="0.25">
      <c r="A75" s="14" t="s">
        <v>52</v>
      </c>
      <c r="B75" s="15" t="s">
        <v>53</v>
      </c>
      <c r="C75" s="15" t="s">
        <v>54</v>
      </c>
      <c r="D75" s="15"/>
      <c r="E75" s="16"/>
      <c r="F75" s="17">
        <v>62</v>
      </c>
      <c r="G75" s="17" t="s">
        <v>359</v>
      </c>
      <c r="H75" s="17" t="s">
        <v>360</v>
      </c>
      <c r="I75" s="17">
        <v>4</v>
      </c>
      <c r="J75" s="17" t="s">
        <v>39</v>
      </c>
      <c r="K75" s="18" t="s">
        <v>53</v>
      </c>
      <c r="L75" s="19" t="s">
        <v>58</v>
      </c>
      <c r="M75" s="19">
        <v>603</v>
      </c>
      <c r="N75" s="19" t="s">
        <v>59</v>
      </c>
      <c r="O75" s="19">
        <v>4</v>
      </c>
      <c r="P75" s="19">
        <v>1.2200000000000001E-2</v>
      </c>
      <c r="Q75" s="19">
        <v>0</v>
      </c>
      <c r="R75" s="19">
        <f t="shared" si="0"/>
        <v>4.8800000000000003E-2</v>
      </c>
    </row>
    <row r="76" spans="1:18" x14ac:dyDescent="0.25">
      <c r="A76" s="14" t="s">
        <v>361</v>
      </c>
      <c r="B76" s="15" t="s">
        <v>201</v>
      </c>
      <c r="C76" s="15" t="s">
        <v>362</v>
      </c>
      <c r="D76" s="15"/>
      <c r="E76" s="16" t="s">
        <v>363</v>
      </c>
      <c r="F76" s="17">
        <v>63</v>
      </c>
      <c r="G76" s="17" t="s">
        <v>361</v>
      </c>
      <c r="H76" s="17" t="s">
        <v>364</v>
      </c>
      <c r="I76" s="17">
        <v>2</v>
      </c>
      <c r="J76" s="17" t="s">
        <v>39</v>
      </c>
      <c r="K76" s="18" t="s">
        <v>201</v>
      </c>
      <c r="L76" s="19" t="s">
        <v>205</v>
      </c>
      <c r="M76" s="20" t="s">
        <v>365</v>
      </c>
      <c r="N76" s="19" t="s">
        <v>366</v>
      </c>
      <c r="O76" s="19">
        <v>2</v>
      </c>
      <c r="P76" s="19">
        <v>0.34089999999999998</v>
      </c>
      <c r="Q76" s="19">
        <v>0</v>
      </c>
      <c r="R76" s="19">
        <f t="shared" si="0"/>
        <v>0.68179999999999996</v>
      </c>
    </row>
    <row r="77" spans="1:18" x14ac:dyDescent="0.25">
      <c r="A77" s="14" t="s">
        <v>367</v>
      </c>
      <c r="B77" s="15" t="s">
        <v>329</v>
      </c>
      <c r="C77" s="15" t="s">
        <v>368</v>
      </c>
      <c r="D77" s="15"/>
      <c r="E77" s="16" t="s">
        <v>369</v>
      </c>
      <c r="F77" s="17">
        <v>64</v>
      </c>
      <c r="G77" s="17" t="s">
        <v>367</v>
      </c>
      <c r="H77" s="17" t="s">
        <v>370</v>
      </c>
      <c r="I77" s="17">
        <v>1</v>
      </c>
      <c r="J77" s="17" t="s">
        <v>39</v>
      </c>
      <c r="K77" s="18" t="s">
        <v>329</v>
      </c>
      <c r="L77" s="19" t="s">
        <v>371</v>
      </c>
      <c r="M77" s="20" t="s">
        <v>372</v>
      </c>
      <c r="N77" s="19" t="s">
        <v>373</v>
      </c>
      <c r="O77" s="19">
        <v>1</v>
      </c>
      <c r="P77" s="19">
        <v>9.3000000000000007</v>
      </c>
      <c r="Q77" s="19">
        <v>0</v>
      </c>
      <c r="R77" s="19">
        <f t="shared" si="0"/>
        <v>9.3000000000000007</v>
      </c>
    </row>
    <row r="78" spans="1:18" x14ac:dyDescent="0.25">
      <c r="A78" s="14" t="s">
        <v>374</v>
      </c>
      <c r="B78" s="15" t="s">
        <v>112</v>
      </c>
      <c r="C78" s="15" t="s">
        <v>54</v>
      </c>
      <c r="D78" s="15"/>
      <c r="E78" s="16"/>
      <c r="F78" s="17">
        <v>65</v>
      </c>
      <c r="G78" s="17" t="s">
        <v>375</v>
      </c>
      <c r="H78" s="17" t="s">
        <v>376</v>
      </c>
      <c r="I78" s="17">
        <v>2</v>
      </c>
      <c r="J78" s="17" t="s">
        <v>39</v>
      </c>
      <c r="K78" s="18" t="s">
        <v>112</v>
      </c>
      <c r="L78" s="19" t="s">
        <v>58</v>
      </c>
      <c r="M78" s="19">
        <v>603</v>
      </c>
      <c r="N78" s="19" t="s">
        <v>377</v>
      </c>
      <c r="O78" s="19">
        <v>2</v>
      </c>
      <c r="P78" s="19">
        <v>0.91171999999999997</v>
      </c>
      <c r="Q78" s="19">
        <v>0</v>
      </c>
      <c r="R78" s="19">
        <f t="shared" si="0"/>
        <v>1.8234399999999999</v>
      </c>
    </row>
    <row r="79" spans="1:18" x14ac:dyDescent="0.25">
      <c r="A79" s="14" t="s">
        <v>374</v>
      </c>
      <c r="B79" s="15" t="s">
        <v>112</v>
      </c>
      <c r="C79" s="15" t="s">
        <v>54</v>
      </c>
      <c r="D79" s="15"/>
      <c r="E79" s="16"/>
      <c r="F79" s="17">
        <v>66</v>
      </c>
      <c r="G79" s="17" t="s">
        <v>378</v>
      </c>
      <c r="H79" s="17" t="s">
        <v>379</v>
      </c>
      <c r="I79" s="17">
        <v>1</v>
      </c>
      <c r="J79" s="17" t="s">
        <v>39</v>
      </c>
      <c r="K79" s="18" t="s">
        <v>112</v>
      </c>
      <c r="L79" s="19" t="s">
        <v>58</v>
      </c>
      <c r="M79" s="19">
        <v>603</v>
      </c>
      <c r="N79" s="19" t="s">
        <v>377</v>
      </c>
      <c r="O79" s="19">
        <v>1</v>
      </c>
      <c r="P79" s="19">
        <v>0.91171999999999997</v>
      </c>
      <c r="Q79" s="19">
        <v>0</v>
      </c>
      <c r="R79" s="19">
        <f t="shared" si="0"/>
        <v>0.91171999999999997</v>
      </c>
    </row>
    <row r="80" spans="1:18" x14ac:dyDescent="0.25">
      <c r="A80" s="14" t="s">
        <v>374</v>
      </c>
      <c r="B80" s="15" t="s">
        <v>112</v>
      </c>
      <c r="C80" s="15" t="s">
        <v>54</v>
      </c>
      <c r="D80" s="15"/>
      <c r="E80" s="16"/>
      <c r="F80" s="17">
        <v>67</v>
      </c>
      <c r="G80" s="17" t="s">
        <v>380</v>
      </c>
      <c r="H80" s="17" t="s">
        <v>381</v>
      </c>
      <c r="I80" s="17">
        <v>2</v>
      </c>
      <c r="J80" s="17" t="s">
        <v>39</v>
      </c>
      <c r="K80" s="18" t="s">
        <v>112</v>
      </c>
      <c r="L80" s="19" t="s">
        <v>58</v>
      </c>
      <c r="M80" s="19">
        <v>603</v>
      </c>
      <c r="N80" s="19" t="s">
        <v>377</v>
      </c>
      <c r="O80" s="19">
        <v>2</v>
      </c>
      <c r="P80" s="19">
        <v>0.91171999999999997</v>
      </c>
      <c r="Q80" s="19">
        <v>0</v>
      </c>
      <c r="R80" s="19">
        <f t="shared" si="0"/>
        <v>1.8234399999999999</v>
      </c>
    </row>
    <row r="81" spans="1:18" x14ac:dyDescent="0.25">
      <c r="A81" s="14" t="s">
        <v>374</v>
      </c>
      <c r="B81" s="15" t="s">
        <v>112</v>
      </c>
      <c r="C81" s="15" t="s">
        <v>54</v>
      </c>
      <c r="D81" s="15"/>
      <c r="E81" s="16" t="s">
        <v>382</v>
      </c>
      <c r="F81" s="17">
        <v>68</v>
      </c>
      <c r="G81" s="17" t="s">
        <v>56</v>
      </c>
      <c r="H81" s="17" t="s">
        <v>383</v>
      </c>
      <c r="I81" s="17">
        <v>2</v>
      </c>
      <c r="J81" s="17" t="s">
        <v>39</v>
      </c>
      <c r="K81" s="18" t="s">
        <v>112</v>
      </c>
      <c r="L81" s="19" t="s">
        <v>58</v>
      </c>
      <c r="M81" s="19">
        <v>603</v>
      </c>
      <c r="N81" s="19" t="s">
        <v>377</v>
      </c>
      <c r="O81" s="19">
        <v>2</v>
      </c>
      <c r="P81" s="19">
        <v>0.91171999999999997</v>
      </c>
      <c r="Q81" s="19">
        <v>0</v>
      </c>
      <c r="R81" s="19">
        <f t="shared" si="0"/>
        <v>1.8234399999999999</v>
      </c>
    </row>
    <row r="82" spans="1:18" x14ac:dyDescent="0.25">
      <c r="A82" s="14" t="s">
        <v>384</v>
      </c>
      <c r="B82" s="15" t="s">
        <v>85</v>
      </c>
      <c r="C82" s="15" t="s">
        <v>54</v>
      </c>
      <c r="D82" s="15"/>
      <c r="E82" s="16" t="s">
        <v>385</v>
      </c>
      <c r="F82" s="17">
        <v>69</v>
      </c>
      <c r="G82" s="17" t="s">
        <v>386</v>
      </c>
      <c r="H82" s="17" t="s">
        <v>387</v>
      </c>
      <c r="I82" s="17">
        <v>2</v>
      </c>
      <c r="J82" s="17" t="s">
        <v>39</v>
      </c>
      <c r="K82" s="18" t="s">
        <v>85</v>
      </c>
      <c r="L82" s="19" t="s">
        <v>58</v>
      </c>
      <c r="M82" s="19">
        <v>603</v>
      </c>
      <c r="N82" s="19" t="s">
        <v>388</v>
      </c>
      <c r="O82" s="19">
        <v>2</v>
      </c>
      <c r="P82" s="19">
        <v>0.82883600000000002</v>
      </c>
      <c r="Q82" s="19">
        <v>0</v>
      </c>
      <c r="R82" s="19">
        <f t="shared" ref="R82:R88" si="1">O82*P82</f>
        <v>1.657672</v>
      </c>
    </row>
    <row r="83" spans="1:18" x14ac:dyDescent="0.25">
      <c r="A83" s="14" t="s">
        <v>389</v>
      </c>
      <c r="B83" s="15" t="s">
        <v>256</v>
      </c>
      <c r="C83" s="15" t="s">
        <v>62</v>
      </c>
      <c r="D83" s="15"/>
      <c r="E83" s="16" t="s">
        <v>390</v>
      </c>
      <c r="F83" s="17">
        <v>70</v>
      </c>
      <c r="G83" s="17" t="s">
        <v>391</v>
      </c>
      <c r="H83" s="17" t="s">
        <v>392</v>
      </c>
      <c r="I83" s="17">
        <v>5</v>
      </c>
      <c r="J83" s="17" t="s">
        <v>39</v>
      </c>
      <c r="K83" s="18" t="s">
        <v>256</v>
      </c>
      <c r="L83" s="19" t="s">
        <v>66</v>
      </c>
      <c r="M83" s="19">
        <v>603</v>
      </c>
      <c r="N83" s="19" t="s">
        <v>393</v>
      </c>
      <c r="O83" s="19">
        <v>5</v>
      </c>
      <c r="P83" s="19">
        <v>0.33750000000000002</v>
      </c>
      <c r="Q83" s="19">
        <v>0</v>
      </c>
      <c r="R83" s="19">
        <f t="shared" si="1"/>
        <v>1.6875</v>
      </c>
    </row>
    <row r="84" spans="1:18" x14ac:dyDescent="0.25">
      <c r="A84" s="6" t="s">
        <v>394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19"/>
    </row>
    <row r="85" spans="1:18" x14ac:dyDescent="0.25">
      <c r="A85" s="6" t="s">
        <v>395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>
        <v>1</v>
      </c>
      <c r="P85" s="7">
        <v>1.8</v>
      </c>
      <c r="Q85" s="7"/>
      <c r="R85" s="19">
        <f t="shared" si="1"/>
        <v>1.8</v>
      </c>
    </row>
    <row r="86" spans="1:18" x14ac:dyDescent="0.25">
      <c r="A86" s="6" t="s">
        <v>396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>
        <v>6</v>
      </c>
      <c r="P86" s="7">
        <v>0.9</v>
      </c>
      <c r="Q86" s="7"/>
      <c r="R86" s="19">
        <f t="shared" si="1"/>
        <v>5.4</v>
      </c>
    </row>
    <row r="87" spans="1:18" x14ac:dyDescent="0.25">
      <c r="A87" s="6" t="s">
        <v>397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>
        <v>9</v>
      </c>
      <c r="P87" s="7">
        <v>1.35</v>
      </c>
      <c r="Q87" s="7"/>
      <c r="R87" s="19">
        <f t="shared" si="1"/>
        <v>12.15</v>
      </c>
    </row>
    <row r="88" spans="1:18" x14ac:dyDescent="0.25">
      <c r="A88" s="6" t="s">
        <v>398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>
        <v>3</v>
      </c>
      <c r="P88" s="7">
        <v>4.8</v>
      </c>
      <c r="Q88" s="7"/>
      <c r="R88" s="19">
        <f t="shared" si="1"/>
        <v>14.4</v>
      </c>
    </row>
    <row r="89" spans="1:18" x14ac:dyDescent="0.25">
      <c r="A89" s="6" t="s">
        <v>399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>
        <f>SUM(R18:R88)</f>
        <v>412.26718399999999</v>
      </c>
    </row>
    <row r="90" spans="1:18" ht="30" x14ac:dyDescent="0.25">
      <c r="A90" s="21" t="s">
        <v>400</v>
      </c>
      <c r="C90" s="22">
        <f>SUM(G10,B10,B15,G15,R89)</f>
        <v>535.00294399999996</v>
      </c>
    </row>
  </sheetData>
  <mergeCells count="11">
    <mergeCell ref="L6:P11"/>
    <mergeCell ref="A11:D11"/>
    <mergeCell ref="F11:I11"/>
    <mergeCell ref="B15:D15"/>
    <mergeCell ref="G15:I15"/>
    <mergeCell ref="A1:D2"/>
    <mergeCell ref="A5:D5"/>
    <mergeCell ref="A6:D6"/>
    <mergeCell ref="F6:I6"/>
    <mergeCell ref="B10:D10"/>
    <mergeCell ref="G10:I10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workbookViewId="0">
      <selection activeCell="H17" sqref="H17"/>
    </sheetView>
  </sheetViews>
  <sheetFormatPr defaultColWidth="9" defaultRowHeight="13.8" x14ac:dyDescent="0.25"/>
  <cols>
    <col min="1" max="1" width="4.5546875" customWidth="1"/>
    <col min="2" max="2" width="9" customWidth="1"/>
    <col min="3" max="3" width="10" customWidth="1"/>
    <col min="4" max="4" width="43.44140625" customWidth="1"/>
    <col min="5" max="5" width="13.33203125" customWidth="1"/>
    <col min="6" max="6" width="6.6640625" customWidth="1"/>
    <col min="7" max="7" width="22.21875" customWidth="1"/>
    <col min="8" max="8" width="16.33203125" customWidth="1"/>
    <col min="9" max="9" width="12.6640625" customWidth="1"/>
  </cols>
  <sheetData>
    <row r="1" spans="1:17" x14ac:dyDescent="0.25">
      <c r="A1" s="1" t="s">
        <v>401</v>
      </c>
      <c r="B1" s="1" t="s">
        <v>24</v>
      </c>
      <c r="C1" s="1" t="s">
        <v>402</v>
      </c>
      <c r="D1" s="1" t="s">
        <v>23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</row>
    <row r="2" spans="1:17" x14ac:dyDescent="0.25">
      <c r="A2" s="2" t="s">
        <v>408</v>
      </c>
      <c r="B2" s="2">
        <v>11</v>
      </c>
      <c r="C2" s="2" t="s">
        <v>235</v>
      </c>
      <c r="D2" s="2" t="s">
        <v>409</v>
      </c>
      <c r="E2" s="2" t="s">
        <v>62</v>
      </c>
      <c r="F2" s="2" t="s">
        <v>235</v>
      </c>
      <c r="G2" s="2" t="s">
        <v>410</v>
      </c>
      <c r="H2" s="2" t="s">
        <v>410</v>
      </c>
      <c r="I2" s="2" t="s">
        <v>410</v>
      </c>
      <c r="J2" s="2"/>
      <c r="M2" s="32" t="s">
        <v>411</v>
      </c>
      <c r="N2" s="32"/>
      <c r="O2" s="32"/>
      <c r="P2" s="32"/>
      <c r="Q2" s="32"/>
    </row>
    <row r="3" spans="1:17" x14ac:dyDescent="0.25">
      <c r="A3" s="2" t="s">
        <v>412</v>
      </c>
      <c r="B3" s="2">
        <v>1</v>
      </c>
      <c r="C3" s="2" t="s">
        <v>64</v>
      </c>
      <c r="D3" s="2" t="s">
        <v>413</v>
      </c>
      <c r="E3" s="2" t="s">
        <v>62</v>
      </c>
      <c r="F3" s="2" t="s">
        <v>64</v>
      </c>
      <c r="G3" s="2" t="s">
        <v>410</v>
      </c>
      <c r="H3" s="2" t="s">
        <v>410</v>
      </c>
      <c r="I3" s="2" t="s">
        <v>410</v>
      </c>
      <c r="J3" s="2"/>
      <c r="M3" s="32"/>
      <c r="N3" s="32"/>
      <c r="O3" s="32"/>
      <c r="P3" s="32"/>
      <c r="Q3" s="32"/>
    </row>
    <row r="4" spans="1:17" x14ac:dyDescent="0.25">
      <c r="A4" s="2" t="s">
        <v>414</v>
      </c>
      <c r="B4" s="2">
        <v>2</v>
      </c>
      <c r="C4" s="2" t="s">
        <v>415</v>
      </c>
      <c r="D4" s="2" t="s">
        <v>416</v>
      </c>
      <c r="E4" s="2" t="s">
        <v>62</v>
      </c>
      <c r="F4" s="2" t="s">
        <v>415</v>
      </c>
      <c r="G4" s="2" t="s">
        <v>417</v>
      </c>
      <c r="H4" s="2" t="s">
        <v>112</v>
      </c>
      <c r="I4" s="2" t="s">
        <v>418</v>
      </c>
      <c r="J4" s="2"/>
      <c r="M4" s="32"/>
      <c r="N4" s="32"/>
      <c r="O4" s="32"/>
      <c r="P4" s="32"/>
      <c r="Q4" s="32"/>
    </row>
    <row r="5" spans="1:17" x14ac:dyDescent="0.25">
      <c r="A5" s="2" t="s">
        <v>419</v>
      </c>
      <c r="B5" s="2">
        <v>2</v>
      </c>
      <c r="C5" s="2" t="s">
        <v>420</v>
      </c>
      <c r="D5" s="2" t="s">
        <v>421</v>
      </c>
      <c r="E5" s="2" t="s">
        <v>62</v>
      </c>
      <c r="F5" s="2" t="s">
        <v>420</v>
      </c>
      <c r="G5" s="2" t="s">
        <v>422</v>
      </c>
      <c r="H5" s="2" t="s">
        <v>110</v>
      </c>
      <c r="I5" s="2" t="s">
        <v>423</v>
      </c>
      <c r="J5" s="2"/>
      <c r="M5" s="32"/>
      <c r="N5" s="32"/>
      <c r="O5" s="32"/>
      <c r="P5" s="32"/>
      <c r="Q5" s="32"/>
    </row>
    <row r="6" spans="1:17" x14ac:dyDescent="0.25">
      <c r="A6" s="2" t="s">
        <v>424</v>
      </c>
      <c r="B6" s="2">
        <v>4</v>
      </c>
      <c r="C6" s="2" t="s">
        <v>64</v>
      </c>
      <c r="D6" s="2" t="s">
        <v>425</v>
      </c>
      <c r="E6" s="2" t="s">
        <v>62</v>
      </c>
      <c r="F6" s="2" t="s">
        <v>64</v>
      </c>
      <c r="G6" s="2" t="s">
        <v>426</v>
      </c>
      <c r="H6" s="2" t="s">
        <v>112</v>
      </c>
      <c r="I6" s="2" t="s">
        <v>410</v>
      </c>
      <c r="J6" s="2"/>
      <c r="M6" s="32"/>
      <c r="N6" s="32"/>
      <c r="O6" s="32"/>
      <c r="P6" s="32"/>
      <c r="Q6" s="32"/>
    </row>
    <row r="7" spans="1:17" x14ac:dyDescent="0.25">
      <c r="A7" s="2" t="s">
        <v>427</v>
      </c>
      <c r="B7" s="2">
        <v>1</v>
      </c>
      <c r="C7" s="2" t="s">
        <v>428</v>
      </c>
      <c r="D7" s="2" t="s">
        <v>429</v>
      </c>
      <c r="E7" s="2" t="s">
        <v>62</v>
      </c>
      <c r="F7" s="2" t="s">
        <v>428</v>
      </c>
      <c r="G7" s="2" t="s">
        <v>426</v>
      </c>
      <c r="H7" s="2" t="s">
        <v>112</v>
      </c>
      <c r="I7" s="2" t="s">
        <v>410</v>
      </c>
      <c r="J7" s="2"/>
      <c r="M7" s="32"/>
      <c r="N7" s="32"/>
      <c r="O7" s="32"/>
      <c r="P7" s="32"/>
      <c r="Q7" s="32"/>
    </row>
    <row r="8" spans="1:17" x14ac:dyDescent="0.25">
      <c r="A8" s="2" t="s">
        <v>430</v>
      </c>
      <c r="B8" s="2">
        <v>1</v>
      </c>
      <c r="C8" s="2" t="s">
        <v>431</v>
      </c>
      <c r="D8" s="2" t="s">
        <v>432</v>
      </c>
      <c r="E8" s="2" t="s">
        <v>433</v>
      </c>
      <c r="F8" s="2" t="s">
        <v>431</v>
      </c>
      <c r="G8" s="2" t="s">
        <v>434</v>
      </c>
      <c r="H8" s="2" t="s">
        <v>435</v>
      </c>
      <c r="I8" s="2" t="s">
        <v>436</v>
      </c>
      <c r="J8" s="2"/>
      <c r="M8" s="32"/>
      <c r="N8" s="32"/>
      <c r="O8" s="32"/>
      <c r="P8" s="32"/>
      <c r="Q8" s="32"/>
    </row>
    <row r="12" spans="1:17" x14ac:dyDescent="0.25">
      <c r="M12" s="32" t="s">
        <v>437</v>
      </c>
      <c r="N12" s="32"/>
      <c r="O12" s="32"/>
      <c r="P12" s="32"/>
      <c r="Q12" s="32"/>
    </row>
    <row r="13" spans="1:17" x14ac:dyDescent="0.25">
      <c r="M13" s="32"/>
      <c r="N13" s="32"/>
      <c r="O13" s="32"/>
      <c r="P13" s="32"/>
      <c r="Q13" s="32"/>
    </row>
    <row r="14" spans="1:17" x14ac:dyDescent="0.25">
      <c r="M14" s="32"/>
      <c r="N14" s="32"/>
      <c r="O14" s="32"/>
      <c r="P14" s="32"/>
      <c r="Q14" s="32"/>
    </row>
    <row r="15" spans="1:17" x14ac:dyDescent="0.25">
      <c r="M15" s="32"/>
      <c r="N15" s="32"/>
      <c r="O15" s="32"/>
      <c r="P15" s="32"/>
      <c r="Q15" s="32"/>
    </row>
    <row r="16" spans="1:17" x14ac:dyDescent="0.25">
      <c r="M16" s="32"/>
      <c r="N16" s="32"/>
      <c r="O16" s="32"/>
      <c r="P16" s="32"/>
      <c r="Q16" s="32"/>
    </row>
    <row r="17" spans="13:17" x14ac:dyDescent="0.25">
      <c r="M17" s="32"/>
      <c r="N17" s="32"/>
      <c r="O17" s="32"/>
      <c r="P17" s="32"/>
      <c r="Q17" s="32"/>
    </row>
    <row r="18" spans="13:17" x14ac:dyDescent="0.25">
      <c r="M18" s="32"/>
      <c r="N18" s="32"/>
      <c r="O18" s="32"/>
      <c r="P18" s="32"/>
      <c r="Q18" s="32"/>
    </row>
    <row r="19" spans="13:17" x14ac:dyDescent="0.25">
      <c r="M19" s="32"/>
      <c r="N19" s="32"/>
      <c r="O19" s="32"/>
      <c r="P19" s="32"/>
      <c r="Q19" s="32"/>
    </row>
    <row r="20" spans="13:17" x14ac:dyDescent="0.25">
      <c r="M20" s="32"/>
      <c r="N20" s="32"/>
      <c r="O20" s="32"/>
      <c r="P20" s="32"/>
      <c r="Q20" s="32"/>
    </row>
    <row r="21" spans="13:17" x14ac:dyDescent="0.25">
      <c r="M21" s="32"/>
      <c r="N21" s="32"/>
      <c r="O21" s="32"/>
      <c r="P21" s="32"/>
      <c r="Q21" s="32"/>
    </row>
    <row r="24" spans="13:17" x14ac:dyDescent="0.25">
      <c r="M24" s="32" t="s">
        <v>438</v>
      </c>
      <c r="N24" s="32"/>
      <c r="O24" s="32"/>
      <c r="P24" s="32"/>
      <c r="Q24" s="32"/>
    </row>
    <row r="25" spans="13:17" x14ac:dyDescent="0.25">
      <c r="M25" s="32"/>
      <c r="N25" s="32"/>
      <c r="O25" s="32"/>
      <c r="P25" s="32"/>
      <c r="Q25" s="32"/>
    </row>
    <row r="26" spans="13:17" x14ac:dyDescent="0.25">
      <c r="M26" s="32"/>
      <c r="N26" s="32"/>
      <c r="O26" s="32"/>
      <c r="P26" s="32"/>
      <c r="Q26" s="32"/>
    </row>
    <row r="27" spans="13:17" x14ac:dyDescent="0.25">
      <c r="M27" s="32"/>
      <c r="N27" s="32"/>
      <c r="O27" s="32"/>
      <c r="P27" s="32"/>
      <c r="Q27" s="32"/>
    </row>
    <row r="28" spans="13:17" x14ac:dyDescent="0.25">
      <c r="M28" s="32"/>
      <c r="N28" s="32"/>
      <c r="O28" s="32"/>
      <c r="P28" s="32"/>
      <c r="Q28" s="32"/>
    </row>
    <row r="29" spans="13:17" x14ac:dyDescent="0.25">
      <c r="M29" s="32"/>
      <c r="N29" s="32"/>
      <c r="O29" s="32"/>
      <c r="P29" s="32"/>
      <c r="Q29" s="32"/>
    </row>
    <row r="30" spans="13:17" x14ac:dyDescent="0.25">
      <c r="M30" s="32"/>
      <c r="N30" s="32"/>
      <c r="O30" s="32"/>
      <c r="P30" s="32"/>
      <c r="Q30" s="32"/>
    </row>
  </sheetData>
  <mergeCells count="3">
    <mergeCell ref="M2:Q8"/>
    <mergeCell ref="M12:Q21"/>
    <mergeCell ref="M24:Q30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workbookViewId="0">
      <selection activeCell="R23" sqref="R23"/>
    </sheetView>
  </sheetViews>
  <sheetFormatPr defaultColWidth="9" defaultRowHeight="13.8" x14ac:dyDescent="0.25"/>
  <cols>
    <col min="1" max="1" width="4.5546875" customWidth="1"/>
    <col min="2" max="2" width="9" customWidth="1"/>
    <col min="3" max="3" width="10" customWidth="1"/>
    <col min="4" max="4" width="43.44140625" customWidth="1"/>
    <col min="5" max="5" width="13.33203125" customWidth="1"/>
    <col min="6" max="6" width="6.6640625" customWidth="1"/>
    <col min="7" max="7" width="22.21875" customWidth="1"/>
    <col min="8" max="8" width="16.33203125" customWidth="1"/>
    <col min="9" max="9" width="12.6640625" customWidth="1"/>
    <col min="10" max="10" width="27.88671875" customWidth="1"/>
  </cols>
  <sheetData>
    <row r="1" spans="1:17" x14ac:dyDescent="0.25">
      <c r="A1" s="1" t="s">
        <v>401</v>
      </c>
      <c r="B1" s="1" t="s">
        <v>24</v>
      </c>
      <c r="C1" s="1" t="s">
        <v>402</v>
      </c>
      <c r="D1" s="1" t="s">
        <v>23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439</v>
      </c>
    </row>
    <row r="2" spans="1:17" ht="13.8" customHeight="1" x14ac:dyDescent="0.25">
      <c r="A2" s="2" t="s">
        <v>408</v>
      </c>
      <c r="B2" s="2">
        <v>11</v>
      </c>
      <c r="C2" s="2" t="s">
        <v>235</v>
      </c>
      <c r="D2" s="2" t="s">
        <v>409</v>
      </c>
      <c r="E2" s="2" t="s">
        <v>62</v>
      </c>
      <c r="F2" s="2" t="s">
        <v>235</v>
      </c>
      <c r="G2" s="2" t="s">
        <v>410</v>
      </c>
      <c r="H2" s="2" t="s">
        <v>410</v>
      </c>
      <c r="I2" s="2" t="s">
        <v>410</v>
      </c>
      <c r="J2" s="2"/>
    </row>
    <row r="3" spans="1:17" x14ac:dyDescent="0.25">
      <c r="A3" s="2" t="s">
        <v>412</v>
      </c>
      <c r="B3" s="2">
        <v>1</v>
      </c>
      <c r="C3" s="2" t="s">
        <v>64</v>
      </c>
      <c r="D3" s="2" t="s">
        <v>413</v>
      </c>
      <c r="E3" s="2" t="s">
        <v>62</v>
      </c>
      <c r="F3" s="2" t="s">
        <v>64</v>
      </c>
      <c r="G3" s="2" t="s">
        <v>410</v>
      </c>
      <c r="H3" s="2" t="s">
        <v>410</v>
      </c>
      <c r="I3" s="2" t="s">
        <v>410</v>
      </c>
      <c r="J3" s="2"/>
    </row>
    <row r="4" spans="1:17" x14ac:dyDescent="0.25">
      <c r="A4" s="2" t="s">
        <v>414</v>
      </c>
      <c r="B4" s="2">
        <v>2</v>
      </c>
      <c r="C4" s="2" t="s">
        <v>415</v>
      </c>
      <c r="D4" s="2" t="s">
        <v>416</v>
      </c>
      <c r="E4" s="2" t="s">
        <v>62</v>
      </c>
      <c r="F4" s="2" t="s">
        <v>415</v>
      </c>
      <c r="G4" s="2" t="s">
        <v>417</v>
      </c>
      <c r="H4" s="2" t="s">
        <v>112</v>
      </c>
      <c r="I4" s="2" t="s">
        <v>418</v>
      </c>
      <c r="J4" s="2"/>
    </row>
    <row r="5" spans="1:17" x14ac:dyDescent="0.25">
      <c r="A5" s="2" t="s">
        <v>419</v>
      </c>
      <c r="B5" s="2">
        <v>2</v>
      </c>
      <c r="C5" s="2" t="s">
        <v>420</v>
      </c>
      <c r="D5" s="2" t="s">
        <v>421</v>
      </c>
      <c r="E5" s="2" t="s">
        <v>62</v>
      </c>
      <c r="F5" s="2" t="s">
        <v>420</v>
      </c>
      <c r="G5" s="2" t="s">
        <v>422</v>
      </c>
      <c r="H5" s="2" t="s">
        <v>110</v>
      </c>
      <c r="I5" s="2" t="s">
        <v>423</v>
      </c>
      <c r="J5" s="2"/>
    </row>
    <row r="6" spans="1:17" x14ac:dyDescent="0.25">
      <c r="A6" s="2" t="s">
        <v>424</v>
      </c>
      <c r="B6" s="2">
        <v>4</v>
      </c>
      <c r="C6" s="2" t="s">
        <v>64</v>
      </c>
      <c r="D6" s="2" t="s">
        <v>425</v>
      </c>
      <c r="E6" s="2" t="s">
        <v>62</v>
      </c>
      <c r="F6" s="2" t="s">
        <v>64</v>
      </c>
      <c r="G6" s="2" t="s">
        <v>426</v>
      </c>
      <c r="H6" s="2" t="s">
        <v>112</v>
      </c>
      <c r="I6" s="2" t="s">
        <v>410</v>
      </c>
      <c r="J6" s="2"/>
    </row>
    <row r="7" spans="1:17" x14ac:dyDescent="0.25">
      <c r="A7" s="2" t="s">
        <v>427</v>
      </c>
      <c r="B7" s="2">
        <v>1</v>
      </c>
      <c r="C7" s="2" t="s">
        <v>428</v>
      </c>
      <c r="D7" s="2" t="s">
        <v>429</v>
      </c>
      <c r="E7" s="2" t="s">
        <v>62</v>
      </c>
      <c r="F7" s="2" t="s">
        <v>428</v>
      </c>
      <c r="G7" s="2" t="s">
        <v>426</v>
      </c>
      <c r="H7" s="2" t="s">
        <v>112</v>
      </c>
      <c r="I7" s="2" t="s">
        <v>410</v>
      </c>
      <c r="J7" s="2"/>
    </row>
    <row r="8" spans="1:17" x14ac:dyDescent="0.25">
      <c r="A8" s="2" t="s">
        <v>430</v>
      </c>
      <c r="B8" s="2">
        <v>1</v>
      </c>
      <c r="C8" s="2" t="s">
        <v>431</v>
      </c>
      <c r="D8" s="2" t="s">
        <v>432</v>
      </c>
      <c r="E8" s="2" t="s">
        <v>433</v>
      </c>
      <c r="F8" s="2" t="s">
        <v>431</v>
      </c>
      <c r="G8" s="2" t="s">
        <v>434</v>
      </c>
      <c r="H8" s="2" t="s">
        <v>435</v>
      </c>
      <c r="I8" s="2" t="s">
        <v>436</v>
      </c>
      <c r="J8" s="2"/>
    </row>
    <row r="12" spans="1:17" x14ac:dyDescent="0.25">
      <c r="M12" s="32" t="s">
        <v>437</v>
      </c>
      <c r="N12" s="32"/>
      <c r="O12" s="32"/>
      <c r="P12" s="32"/>
      <c r="Q12" s="32"/>
    </row>
    <row r="13" spans="1:17" x14ac:dyDescent="0.25">
      <c r="M13" s="32"/>
      <c r="N13" s="32"/>
      <c r="O13" s="32"/>
      <c r="P13" s="32"/>
      <c r="Q13" s="32"/>
    </row>
    <row r="14" spans="1:17" x14ac:dyDescent="0.25">
      <c r="M14" s="32"/>
      <c r="N14" s="32"/>
      <c r="O14" s="32"/>
      <c r="P14" s="32"/>
      <c r="Q14" s="32"/>
    </row>
    <row r="15" spans="1:17" x14ac:dyDescent="0.25">
      <c r="M15" s="32"/>
      <c r="N15" s="32"/>
      <c r="O15" s="32"/>
      <c r="P15" s="32"/>
      <c r="Q15" s="32"/>
    </row>
    <row r="16" spans="1:17" x14ac:dyDescent="0.25">
      <c r="M16" s="32"/>
      <c r="N16" s="32"/>
      <c r="O16" s="32"/>
      <c r="P16" s="32"/>
      <c r="Q16" s="32"/>
    </row>
    <row r="17" spans="13:17" x14ac:dyDescent="0.25">
      <c r="M17" s="32"/>
      <c r="N17" s="32"/>
      <c r="O17" s="32"/>
      <c r="P17" s="32"/>
      <c r="Q17" s="32"/>
    </row>
    <row r="18" spans="13:17" x14ac:dyDescent="0.25">
      <c r="M18" s="32"/>
      <c r="N18" s="32"/>
      <c r="O18" s="32"/>
      <c r="P18" s="32"/>
      <c r="Q18" s="32"/>
    </row>
    <row r="19" spans="13:17" x14ac:dyDescent="0.25">
      <c r="M19" s="32"/>
      <c r="N19" s="32"/>
      <c r="O19" s="32"/>
      <c r="P19" s="32"/>
      <c r="Q19" s="32"/>
    </row>
    <row r="20" spans="13:17" x14ac:dyDescent="0.25">
      <c r="M20" s="32"/>
      <c r="N20" s="32"/>
      <c r="O20" s="32"/>
      <c r="P20" s="32"/>
      <c r="Q20" s="32"/>
    </row>
    <row r="21" spans="13:17" x14ac:dyDescent="0.25">
      <c r="M21" s="32"/>
      <c r="N21" s="32"/>
      <c r="O21" s="32"/>
      <c r="P21" s="32"/>
      <c r="Q21" s="32"/>
    </row>
    <row r="24" spans="13:17" x14ac:dyDescent="0.25">
      <c r="M24" s="32" t="s">
        <v>440</v>
      </c>
      <c r="N24" s="32"/>
      <c r="O24" s="32"/>
      <c r="P24" s="32"/>
      <c r="Q24" s="32"/>
    </row>
    <row r="25" spans="13:17" x14ac:dyDescent="0.25">
      <c r="M25" s="32"/>
      <c r="N25" s="32"/>
      <c r="O25" s="32"/>
      <c r="P25" s="32"/>
      <c r="Q25" s="32"/>
    </row>
    <row r="26" spans="13:17" x14ac:dyDescent="0.25">
      <c r="M26" s="32"/>
      <c r="N26" s="32"/>
      <c r="O26" s="32"/>
      <c r="P26" s="32"/>
      <c r="Q26" s="32"/>
    </row>
    <row r="27" spans="13:17" x14ac:dyDescent="0.25">
      <c r="M27" s="32"/>
      <c r="N27" s="32"/>
      <c r="O27" s="32"/>
      <c r="P27" s="32"/>
      <c r="Q27" s="32"/>
    </row>
    <row r="28" spans="13:17" x14ac:dyDescent="0.25">
      <c r="M28" s="32"/>
      <c r="N28" s="32"/>
      <c r="O28" s="32"/>
      <c r="P28" s="32"/>
      <c r="Q28" s="32"/>
    </row>
    <row r="29" spans="13:17" x14ac:dyDescent="0.25">
      <c r="M29" s="32"/>
      <c r="N29" s="32"/>
      <c r="O29" s="32"/>
      <c r="P29" s="32"/>
      <c r="Q29" s="32"/>
    </row>
    <row r="30" spans="13:17" x14ac:dyDescent="0.25">
      <c r="M30" s="32"/>
      <c r="N30" s="32"/>
      <c r="O30" s="32"/>
      <c r="P30" s="32"/>
      <c r="Q30" s="32"/>
    </row>
    <row r="35" spans="13:17" x14ac:dyDescent="0.25">
      <c r="M35" s="32" t="s">
        <v>441</v>
      </c>
      <c r="N35" s="32"/>
      <c r="O35" s="32"/>
      <c r="P35" s="32"/>
      <c r="Q35" s="32"/>
    </row>
    <row r="36" spans="13:17" x14ac:dyDescent="0.25">
      <c r="M36" s="32"/>
      <c r="N36" s="32"/>
      <c r="O36" s="32"/>
      <c r="P36" s="32"/>
      <c r="Q36" s="32"/>
    </row>
    <row r="37" spans="13:17" x14ac:dyDescent="0.25">
      <c r="M37" s="32"/>
      <c r="N37" s="32"/>
      <c r="O37" s="32"/>
      <c r="P37" s="32"/>
      <c r="Q37" s="32"/>
    </row>
    <row r="38" spans="13:17" x14ac:dyDescent="0.25">
      <c r="M38" s="32"/>
      <c r="N38" s="32"/>
      <c r="O38" s="32"/>
      <c r="P38" s="32"/>
      <c r="Q38" s="32"/>
    </row>
    <row r="39" spans="13:17" x14ac:dyDescent="0.25">
      <c r="M39" s="32"/>
      <c r="N39" s="32"/>
      <c r="O39" s="32"/>
      <c r="P39" s="32"/>
      <c r="Q39" s="32"/>
    </row>
    <row r="40" spans="13:17" x14ac:dyDescent="0.25">
      <c r="M40" s="32"/>
      <c r="N40" s="32"/>
      <c r="O40" s="32"/>
      <c r="P40" s="32"/>
      <c r="Q40" s="32"/>
    </row>
    <row r="41" spans="13:17" x14ac:dyDescent="0.25">
      <c r="M41" s="32"/>
      <c r="N41" s="32"/>
      <c r="O41" s="32"/>
      <c r="P41" s="32"/>
      <c r="Q41" s="32"/>
    </row>
  </sheetData>
  <mergeCells count="3">
    <mergeCell ref="M12:Q21"/>
    <mergeCell ref="M24:Q30"/>
    <mergeCell ref="M35:Q4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PCB价格</vt:lpstr>
      <vt:lpstr>元器件BOM（立创商城）</vt:lpstr>
      <vt:lpstr>元器件BOM（非立创商城）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 令宇</dc:creator>
  <cp:lastModifiedBy>gongjing zhou</cp:lastModifiedBy>
  <dcterms:created xsi:type="dcterms:W3CDTF">2026-05-12T13:36:00Z</dcterms:created>
  <dcterms:modified xsi:type="dcterms:W3CDTF">2026-07-04T10:40:18Z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2026-05-12T13:46:30Z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d327d3be-37c0-4329-bd6a-e4ce43ec6386</vt:lpwstr>
  </property>
  <property fmtid="{D5CDD505-2E9C-101B-9397-08002B2CF9AE}" pid="7" name="MSIP_Label_defa4170-0d19-0005-0004-bc88714345d2_ActionId">
    <vt:lpwstr>62922e60-bb4e-47d5-a232-d1b60e60680d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C3901B8602F74C2FAD3CDAD6346C6625_13</vt:lpwstr>
  </property>
  <property fmtid="{D5CDD505-2E9C-101B-9397-08002B2CF9AE}" pid="11" name="KSOProductBuildVer">
    <vt:lpwstr>2052-12.1.0.26895</vt:lpwstr>
  </property>
  <property fmtid="{D5CDD505-2E9C-101B-9397-08002B2CF9AE}" pid="12" name="CalculationRule">
    <vt:i4>0</vt:i4>
  </property>
</Properties>
</file>